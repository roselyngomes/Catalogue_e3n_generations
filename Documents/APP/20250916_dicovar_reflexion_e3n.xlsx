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filterPrivacy="1"/>
  <xr:revisionPtr revIDLastSave="0" documentId="13_ncr:1_{9754BCE7-D95C-4407-B4AC-D4AF302E3F26}" xr6:coauthVersionLast="47" xr6:coauthVersionMax="47" xr10:uidLastSave="{00000000-0000-0000-0000-000000000000}"/>
  <bookViews>
    <workbookView xWindow="-108" yWindow="-108" windowWidth="23256" windowHeight="12456" xr2:uid="{00000000-000D-0000-FFFF-FFFF00000000}"/>
  </bookViews>
  <sheets>
    <sheet name="Dicovar" sheetId="1" r:id="rId1"/>
    <sheet name="questionnaire" sheetId="5" r:id="rId2"/>
  </sheets>
  <definedNames>
    <definedName name="_xlnm._FilterDatabase" localSheetId="0" hidden="1">Dicovar!$A$1:$Z$1303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79" i="1" l="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alcChain>
</file>

<file path=xl/sharedStrings.xml><?xml version="1.0" encoding="utf-8"?>
<sst xmlns="http://schemas.openxmlformats.org/spreadsheetml/2006/main" count="3597" uniqueCount="1862">
  <si>
    <t>Anthropométrie</t>
  </si>
  <si>
    <t>Q1</t>
  </si>
  <si>
    <t>Q2</t>
  </si>
  <si>
    <t>Q4</t>
  </si>
  <si>
    <t>Q5</t>
  </si>
  <si>
    <t>Q6</t>
  </si>
  <si>
    <t>Q7</t>
  </si>
  <si>
    <t>Q8</t>
  </si>
  <si>
    <t>Q9</t>
  </si>
  <si>
    <t>Q10</t>
  </si>
  <si>
    <t>Q11</t>
  </si>
  <si>
    <t>Q12</t>
  </si>
  <si>
    <t>G1F</t>
  </si>
  <si>
    <t>G1H</t>
  </si>
  <si>
    <t>G2</t>
  </si>
  <si>
    <t xml:space="preserve">Q3 </t>
  </si>
  <si>
    <t>Q3 alimentaire</t>
  </si>
  <si>
    <t>V000000001</t>
  </si>
  <si>
    <t>V000000002</t>
  </si>
  <si>
    <t>V000000003</t>
  </si>
  <si>
    <t>V000000004</t>
  </si>
  <si>
    <t>V000000005</t>
  </si>
  <si>
    <t>V000000006</t>
  </si>
  <si>
    <t>V000000007</t>
  </si>
  <si>
    <t>V000000008</t>
  </si>
  <si>
    <t>num_var</t>
  </si>
  <si>
    <t>quest</t>
  </si>
  <si>
    <t>page</t>
  </si>
  <si>
    <t>theme</t>
  </si>
  <si>
    <t>desc_brut</t>
  </si>
  <si>
    <t>desc_trans</t>
  </si>
  <si>
    <t>var_brut</t>
  </si>
  <si>
    <t>var_trans</t>
  </si>
  <si>
    <t>var_etat</t>
  </si>
  <si>
    <t>tab_trans</t>
  </si>
  <si>
    <t>chemin_trans</t>
  </si>
  <si>
    <t>var_type</t>
  </si>
  <si>
    <t>var_format</t>
  </si>
  <si>
    <t>desc_value</t>
  </si>
  <si>
    <t>comm</t>
  </si>
  <si>
    <t>Actuellement : poids (en kg)</t>
  </si>
  <si>
    <t>Actuellement : taille (en cm)</t>
  </si>
  <si>
    <t>Actuellement : tour de taille mesuré au nombril (en cm)</t>
  </si>
  <si>
    <t>Avez-vous perdu, sans le vouloir, 3 kg ou plus dans les 6 derniers mois ? Oui</t>
  </si>
  <si>
    <t>Avez-vous perdu, sans le vouloir, 3 kg ou plus dans les 6 derniers mois ? Non</t>
  </si>
  <si>
    <t>poids</t>
  </si>
  <si>
    <t>taille</t>
  </si>
  <si>
    <t>tnombril</t>
  </si>
  <si>
    <t>perdu_o</t>
  </si>
  <si>
    <t>perdu_n</t>
  </si>
  <si>
    <t>Indiquez la silhouette qui vous décrit le mieux : à l'âge de 10 ans : silhouette 1</t>
  </si>
  <si>
    <t>Indiquez la silhouette qui vous décrit le mieux : à l'âge de 10 ans : silhouette 2</t>
  </si>
  <si>
    <t>Indiquez la silhouette qui vous décrit le mieux : à l'âge de 10 ans : silhouette 3</t>
  </si>
  <si>
    <t>Indiquez la silhouette qui vous décrit le mieux : à l'âge de 10 ans : silhouette 4</t>
  </si>
  <si>
    <t>Indiquez la silhouette qui vous décrit le mieux : à l'âge de 10 ans : silhouette 5</t>
  </si>
  <si>
    <t>Indiquez la silhouette qui vous décrit le mieux : à l'âge de 10 ans : silhouette 6</t>
  </si>
  <si>
    <t>Indiquez la silhouette qui vous décrit le mieux : à l'âge de 10 ans : silhouette 7</t>
  </si>
  <si>
    <t>Indiquez la silhouette qui vous décrit le mieux : à l'âge de 10 ans : silhouette 8</t>
  </si>
  <si>
    <t>Indiquez la silhouette qui vous décrit le mieux : à l'âge de 10 ans : silhouette 9</t>
  </si>
  <si>
    <t>Indiquez la silhouette qui vous décrit le mieux : à l'âge de 20 ans : silhouette 1</t>
  </si>
  <si>
    <t>Indiquez la silhouette qui vous décrit le mieux : à l'âge de 20 ans : silhouette 2</t>
  </si>
  <si>
    <t>Indiquez la silhouette qui vous décrit le mieux : à l'âge de 20 ans : silhouette 3</t>
  </si>
  <si>
    <t>Indiquez la silhouette qui vous décrit le mieux : à l'âge de 20 ans : silhouette 4</t>
  </si>
  <si>
    <t>Indiquez la silhouette qui vous décrit le mieux : à l'âge de 20 ans : silhouette 5</t>
  </si>
  <si>
    <t>Indiquez la silhouette qui vous décrit le mieux : à l'âge de 20 ans : silhouette 6</t>
  </si>
  <si>
    <t>Indiquez la silhouette qui vous décrit le mieux : à l'âge de 20 ans : silhouette 7</t>
  </si>
  <si>
    <t>Indiquez la silhouette qui vous décrit le mieux : à l'âge de 20 ans : silhouette 8</t>
  </si>
  <si>
    <t>Indiquez la silhouette qui vous décrit le mieux : à l'âge de 20 ans : silhouette 9</t>
  </si>
  <si>
    <t>Indiquez la silhouette qui vous décrit le mieux : à l'âge de 35/40 ans : silhouette 1</t>
  </si>
  <si>
    <t>Indiquez la silhouette qui vous décrit le mieux : à l'âge de 35/40 ans : silhouette 2</t>
  </si>
  <si>
    <t>Indiquez la silhouette qui vous décrit le mieux : à l'âge de 35/40 ans : silhouette 3</t>
  </si>
  <si>
    <t>Indiquez la silhouette qui vous décrit le mieux : à l'âge de 35/40 ans : silhouette 4</t>
  </si>
  <si>
    <t>Indiquez la silhouette qui vous décrit le mieux : à l'âge de 35/40 ans : silhouette 5</t>
  </si>
  <si>
    <t>Indiquez la silhouette qui vous décrit le mieux : à l'âge de 35/40 ans : silhouette 6</t>
  </si>
  <si>
    <t>Indiquez la silhouette qui vous décrit le mieux : à l'âge de 35/40 ans : silhouette 7</t>
  </si>
  <si>
    <t>Indiquez la silhouette qui vous décrit le mieux : à l'âge de 35/40 ans : silhouette 8</t>
  </si>
  <si>
    <t>Indiquez la silhouette qui vous décrit le mieux : à l'âge de 35/40 ans : silhouette 9</t>
  </si>
  <si>
    <t>Indiquez la silhouette qui vous décrit le mieux : à l'âge de 55/55 ans : silhouette 1</t>
  </si>
  <si>
    <t>Indiquez la silhouette qui vous décrit le mieux : à l'âge de 55/55 ans : silhouette 2</t>
  </si>
  <si>
    <t>Indiquez la silhouette qui vous décrit le mieux : à l'âge de 55/55 ans : silhouette 3</t>
  </si>
  <si>
    <t>Indiquez la silhouette qui vous décrit le mieux : à l'âge de 55/55 ans : silhouette 4</t>
  </si>
  <si>
    <t>Indiquez la silhouette qui vous décrit le mieux : à l'âge de 55/55 ans : silhouette 5</t>
  </si>
  <si>
    <t>Indiquez la silhouette qui vous décrit le mieux : à l'âge de 55/55 ans : silhouette 6</t>
  </si>
  <si>
    <t>Indiquez la silhouette qui vous décrit le mieux : à l'âge de 55/55 ans : silhouette 7</t>
  </si>
  <si>
    <t>Indiquez la silhouette qui vous décrit le mieux : à l'âge de 55/55 ans : silhouette 8</t>
  </si>
  <si>
    <t>Indiquez la silhouette qui vous décrit le mieux : à l'âge de 55/55 ans : silhouette 9</t>
  </si>
  <si>
    <t>Indiquez la silhouette qui vous décrit le mieux : actuellement : silhouette 1</t>
  </si>
  <si>
    <t>Indiquez la silhouette qui vous décrit le mieux : actuellement : silhouette 2</t>
  </si>
  <si>
    <t>Indiquez la silhouette qui vous décrit le mieux : actuellement : silhouette 3</t>
  </si>
  <si>
    <t>Indiquez la silhouette qui vous décrit le mieux : actuellement : silhouette 4</t>
  </si>
  <si>
    <t>Indiquez la silhouette qui vous décrit le mieux : actuellement : silhouette 5</t>
  </si>
  <si>
    <t>Indiquez la silhouette qui vous décrit le mieux : actuellement : silhouette 6</t>
  </si>
  <si>
    <t>Indiquez la silhouette qui vous décrit le mieux : actuellement : silhouette 7</t>
  </si>
  <si>
    <t>Indiquez la silhouette qui vous décrit le mieux : actuellement : silhouette 8</t>
  </si>
  <si>
    <t>Indiquez la silhouette qui vous décrit le mieux : actuellement : silhouette 9</t>
  </si>
  <si>
    <t>V000000009</t>
  </si>
  <si>
    <t>V000000010</t>
  </si>
  <si>
    <t>V000000011</t>
  </si>
  <si>
    <t>V000000012</t>
  </si>
  <si>
    <t>V000000013</t>
  </si>
  <si>
    <t>V000000014</t>
  </si>
  <si>
    <t>V000000015</t>
  </si>
  <si>
    <t>V000000016</t>
  </si>
  <si>
    <t>V000000017</t>
  </si>
  <si>
    <t>V000000018</t>
  </si>
  <si>
    <t>V000000019</t>
  </si>
  <si>
    <t>V000000020</t>
  </si>
  <si>
    <t>V000000021</t>
  </si>
  <si>
    <t>V000000022</t>
  </si>
  <si>
    <t>V000000023</t>
  </si>
  <si>
    <t>V000000024</t>
  </si>
  <si>
    <t>V000000025</t>
  </si>
  <si>
    <t>V000000026</t>
  </si>
  <si>
    <t>V000000027</t>
  </si>
  <si>
    <t>V000000028</t>
  </si>
  <si>
    <t>V000000029</t>
  </si>
  <si>
    <t>V000000030</t>
  </si>
  <si>
    <t>V000000031</t>
  </si>
  <si>
    <t>V000000032</t>
  </si>
  <si>
    <t>V000000033</t>
  </si>
  <si>
    <t>V000000034</t>
  </si>
  <si>
    <t>V000000035</t>
  </si>
  <si>
    <t>V000000036</t>
  </si>
  <si>
    <t>V000000037</t>
  </si>
  <si>
    <t>V000000038</t>
  </si>
  <si>
    <t>V000000039</t>
  </si>
  <si>
    <t>V000000040</t>
  </si>
  <si>
    <t>V000000041</t>
  </si>
  <si>
    <t>V000000042</t>
  </si>
  <si>
    <t>V000000043</t>
  </si>
  <si>
    <t>V000000044</t>
  </si>
  <si>
    <t>V000000045</t>
  </si>
  <si>
    <t>V000000046</t>
  </si>
  <si>
    <t>V000000047</t>
  </si>
  <si>
    <t>V000000048</t>
  </si>
  <si>
    <t>V000000049</t>
  </si>
  <si>
    <t>V000000050</t>
  </si>
  <si>
    <t>ans10_1</t>
  </si>
  <si>
    <t>ans20_2</t>
  </si>
  <si>
    <t>ans35_3</t>
  </si>
  <si>
    <t>ans10_2</t>
  </si>
  <si>
    <t>ans10_3</t>
  </si>
  <si>
    <t>ans10_4</t>
  </si>
  <si>
    <t>ans10_5</t>
  </si>
  <si>
    <t>ans10_6</t>
  </si>
  <si>
    <t>ans10_7</t>
  </si>
  <si>
    <t>ans10_8</t>
  </si>
  <si>
    <t>ans10_9</t>
  </si>
  <si>
    <t>ans20_1</t>
  </si>
  <si>
    <t>ans20_3</t>
  </si>
  <si>
    <t>ans20_4</t>
  </si>
  <si>
    <t>ans20_5</t>
  </si>
  <si>
    <t>ans20_6</t>
  </si>
  <si>
    <t>ans20_7</t>
  </si>
  <si>
    <t>ans20_8</t>
  </si>
  <si>
    <t>ans20_9</t>
  </si>
  <si>
    <t>ans35_1</t>
  </si>
  <si>
    <t>ans35_2</t>
  </si>
  <si>
    <t>ans35_4</t>
  </si>
  <si>
    <t>ans35_5</t>
  </si>
  <si>
    <t>ans35_6</t>
  </si>
  <si>
    <t>ans35_7</t>
  </si>
  <si>
    <t>ans35_8</t>
  </si>
  <si>
    <t>ans35_9</t>
  </si>
  <si>
    <t>ans50_1</t>
  </si>
  <si>
    <t>ans50_2</t>
  </si>
  <si>
    <t>ans50_3</t>
  </si>
  <si>
    <t>ans50_4</t>
  </si>
  <si>
    <t>ans50_5</t>
  </si>
  <si>
    <t>ans50_6</t>
  </si>
  <si>
    <t>ans50_7</t>
  </si>
  <si>
    <t>ans50_8</t>
  </si>
  <si>
    <t>ans50_9</t>
  </si>
  <si>
    <t>mtn_1</t>
  </si>
  <si>
    <t>mtn_2</t>
  </si>
  <si>
    <t>mtn_3</t>
  </si>
  <si>
    <t>mtn_4</t>
  </si>
  <si>
    <t>mtn_5</t>
  </si>
  <si>
    <t>mtn_6</t>
  </si>
  <si>
    <t>mtn_7</t>
  </si>
  <si>
    <t>mtn_8</t>
  </si>
  <si>
    <t>mtn_9</t>
  </si>
  <si>
    <t>V000000051</t>
  </si>
  <si>
    <t>V000000052</t>
  </si>
  <si>
    <t>V000000053</t>
  </si>
  <si>
    <t>V000000054</t>
  </si>
  <si>
    <t>V000000055</t>
  </si>
  <si>
    <t>anth_poids</t>
  </si>
  <si>
    <t>anth_taille</t>
  </si>
  <si>
    <t>anth_tnombril</t>
  </si>
  <si>
    <t>anth_perd_o</t>
  </si>
  <si>
    <t>anth_perd_n</t>
  </si>
  <si>
    <t xml:space="preserve">Indiquez quel était votre poids à 20 ans (en kg) </t>
  </si>
  <si>
    <t xml:space="preserve">Indiquez quel était votre poids à 30 ans (en kg) </t>
  </si>
  <si>
    <t xml:space="preserve">Indiquez quel était votre poids à 40 ans (en kg) </t>
  </si>
  <si>
    <t xml:space="preserve">Indiquez quel était votre poids à 50 ans (en kg) </t>
  </si>
  <si>
    <t xml:space="preserve">Indiquez quel était votre poids à 60 ans (en kg) </t>
  </si>
  <si>
    <t xml:space="preserve">Indiquez quel était votre poids à 70 ans (en kg) </t>
  </si>
  <si>
    <t xml:space="preserve">Indiquez quel était votre poids à 80 ans (en kg) </t>
  </si>
  <si>
    <t>V000000056</t>
  </si>
  <si>
    <t>V000000057</t>
  </si>
  <si>
    <t>V000000058</t>
  </si>
  <si>
    <t>V000000059</t>
  </si>
  <si>
    <t>V000000060</t>
  </si>
  <si>
    <t>V000000061</t>
  </si>
  <si>
    <t>V000000062</t>
  </si>
  <si>
    <t>V000000063</t>
  </si>
  <si>
    <t>V000000064</t>
  </si>
  <si>
    <t>V000000065</t>
  </si>
  <si>
    <t>V000000066</t>
  </si>
  <si>
    <t>V000000067</t>
  </si>
  <si>
    <t>anth_poids_20ans_nb</t>
  </si>
  <si>
    <t>anth_poids_30ans_nb</t>
  </si>
  <si>
    <t>anth_poids_40ans_nb</t>
  </si>
  <si>
    <t>anth_poids_50ans_nb</t>
  </si>
  <si>
    <t>anth_poids_60ans_nb</t>
  </si>
  <si>
    <t>anth_poids_70ans_nb</t>
  </si>
  <si>
    <t>anth_poids_80ans_nb</t>
  </si>
  <si>
    <t>anth_poids_nb</t>
  </si>
  <si>
    <t>anth_taille_nb</t>
  </si>
  <si>
    <t>anth_tnombril_nb</t>
  </si>
  <si>
    <t>0 : Non 
1 : Oui</t>
  </si>
  <si>
    <t>$4.</t>
  </si>
  <si>
    <t>$1.</t>
  </si>
  <si>
    <t>Caractère</t>
  </si>
  <si>
    <t>[120 ; 200] + valeurs aberrantes</t>
  </si>
  <si>
    <t>$3.</t>
  </si>
  <si>
    <t>[0 ; 999] + valeurs aberrantes</t>
  </si>
  <si>
    <t>V000000068</t>
  </si>
  <si>
    <t>V000000069</t>
  </si>
  <si>
    <t>V000000070</t>
  </si>
  <si>
    <t>V000000071</t>
  </si>
  <si>
    <t>V000000072</t>
  </si>
  <si>
    <t>V000000073</t>
  </si>
  <si>
    <t>V000000074</t>
  </si>
  <si>
    <t>V000000075</t>
  </si>
  <si>
    <t>V000000076</t>
  </si>
  <si>
    <t>V000000077</t>
  </si>
  <si>
    <t>V000000078</t>
  </si>
  <si>
    <t>V000000079</t>
  </si>
  <si>
    <t>V000000080</t>
  </si>
  <si>
    <t>V000000081</t>
  </si>
  <si>
    <t>V000000082</t>
  </si>
  <si>
    <t>V000000083</t>
  </si>
  <si>
    <t>V000000084</t>
  </si>
  <si>
    <t>V000000085</t>
  </si>
  <si>
    <t>V000000086</t>
  </si>
  <si>
    <t>V000000087</t>
  </si>
  <si>
    <t>V000000088</t>
  </si>
  <si>
    <t>V000000089</t>
  </si>
  <si>
    <t>V000000090</t>
  </si>
  <si>
    <t>V000000091</t>
  </si>
  <si>
    <t>V000000092</t>
  </si>
  <si>
    <t>V000000093</t>
  </si>
  <si>
    <t>V000000094</t>
  </si>
  <si>
    <t>V000000095</t>
  </si>
  <si>
    <t>V000000096</t>
  </si>
  <si>
    <t>V000000097</t>
  </si>
  <si>
    <t>V000000098</t>
  </si>
  <si>
    <t>V000000099</t>
  </si>
  <si>
    <t>V000000100</t>
  </si>
  <si>
    <t>V000000101</t>
  </si>
  <si>
    <t>V000000102</t>
  </si>
  <si>
    <t>V000000103</t>
  </si>
  <si>
    <t>V000000104</t>
  </si>
  <si>
    <t>V000000105</t>
  </si>
  <si>
    <t>V000000106</t>
  </si>
  <si>
    <t>V000000107</t>
  </si>
  <si>
    <t>V000000108</t>
  </si>
  <si>
    <t>V000000109</t>
  </si>
  <si>
    <t>V000000110</t>
  </si>
  <si>
    <t>V000000111</t>
  </si>
  <si>
    <t>V000000112</t>
  </si>
  <si>
    <t>V000000113</t>
  </si>
  <si>
    <t>V000000114</t>
  </si>
  <si>
    <t>V000000115</t>
  </si>
  <si>
    <t>V000000116</t>
  </si>
  <si>
    <t>V000000117</t>
  </si>
  <si>
    <t>V000000118</t>
  </si>
  <si>
    <t>V000000119</t>
  </si>
  <si>
    <t>V000000120</t>
  </si>
  <si>
    <t>V000000121</t>
  </si>
  <si>
    <t>V000000122</t>
  </si>
  <si>
    <t>V000000123</t>
  </si>
  <si>
    <t>V000000124</t>
  </si>
  <si>
    <t>V000000125</t>
  </si>
  <si>
    <t>V000000126</t>
  </si>
  <si>
    <t>V000000127</t>
  </si>
  <si>
    <t>V000000128</t>
  </si>
  <si>
    <t>V000000129</t>
  </si>
  <si>
    <t>V000000130</t>
  </si>
  <si>
    <t>V000000131</t>
  </si>
  <si>
    <t>V000000132</t>
  </si>
  <si>
    <t>V000000133</t>
  </si>
  <si>
    <t>V000000134</t>
  </si>
  <si>
    <t>V000000135</t>
  </si>
  <si>
    <t>V000000136</t>
  </si>
  <si>
    <t>V000000137</t>
  </si>
  <si>
    <t>V000000138</t>
  </si>
  <si>
    <t>V000000139</t>
  </si>
  <si>
    <t>V000000142</t>
  </si>
  <si>
    <t>V000000143</t>
  </si>
  <si>
    <t>V000000144</t>
  </si>
  <si>
    <t>V000000145</t>
  </si>
  <si>
    <t>V000000146</t>
  </si>
  <si>
    <t>V000000147</t>
  </si>
  <si>
    <t>V000000148</t>
  </si>
  <si>
    <t>V000000149</t>
  </si>
  <si>
    <t>V000000150</t>
  </si>
  <si>
    <t>V000000151</t>
  </si>
  <si>
    <t>V000000152</t>
  </si>
  <si>
    <t>V000000153</t>
  </si>
  <si>
    <t>V000000154</t>
  </si>
  <si>
    <t>V000000155</t>
  </si>
  <si>
    <t>V000000156</t>
  </si>
  <si>
    <t>V000000157</t>
  </si>
  <si>
    <t>V000000158</t>
  </si>
  <si>
    <t>V000000159</t>
  </si>
  <si>
    <t>V000000160</t>
  </si>
  <si>
    <t>V000000161</t>
  </si>
  <si>
    <t>V000000162</t>
  </si>
  <si>
    <t>V000000163</t>
  </si>
  <si>
    <t>V000000164</t>
  </si>
  <si>
    <t>V000000165</t>
  </si>
  <si>
    <t>V000000166</t>
  </si>
  <si>
    <t>V000000167</t>
  </si>
  <si>
    <t>V000000168</t>
  </si>
  <si>
    <t>V000000169</t>
  </si>
  <si>
    <t>V000000170</t>
  </si>
  <si>
    <t>V000000171</t>
  </si>
  <si>
    <t>V000000172</t>
  </si>
  <si>
    <t>V000000173</t>
  </si>
  <si>
    <t>V000000174</t>
  </si>
  <si>
    <t>V000000175</t>
  </si>
  <si>
    <t>V000000176</t>
  </si>
  <si>
    <t>V000000177</t>
  </si>
  <si>
    <t>V000000178</t>
  </si>
  <si>
    <t>V000000179</t>
  </si>
  <si>
    <t>V000000180</t>
  </si>
  <si>
    <t>V000000181</t>
  </si>
  <si>
    <t>V000000182</t>
  </si>
  <si>
    <t>V000000183</t>
  </si>
  <si>
    <t>V000000184</t>
  </si>
  <si>
    <t>V000000185</t>
  </si>
  <si>
    <t>V000000186</t>
  </si>
  <si>
    <t>V000000187</t>
  </si>
  <si>
    <t>V000000188</t>
  </si>
  <si>
    <t>V000000189</t>
  </si>
  <si>
    <t>V000000190</t>
  </si>
  <si>
    <t>V000000191</t>
  </si>
  <si>
    <t>V000000192</t>
  </si>
  <si>
    <t>V000000193</t>
  </si>
  <si>
    <t>V000000194</t>
  </si>
  <si>
    <t>V000000195</t>
  </si>
  <si>
    <t>V000000196</t>
  </si>
  <si>
    <t>V000000197</t>
  </si>
  <si>
    <t>V000000198</t>
  </si>
  <si>
    <t>V000000199</t>
  </si>
  <si>
    <t>V000000200</t>
  </si>
  <si>
    <t>V000000201</t>
  </si>
  <si>
    <t>V000000202</t>
  </si>
  <si>
    <t>V000000203</t>
  </si>
  <si>
    <t>V000000204</t>
  </si>
  <si>
    <t>V000000205</t>
  </si>
  <si>
    <t>V000000206</t>
  </si>
  <si>
    <t>V000000207</t>
  </si>
  <si>
    <t>V000000208</t>
  </si>
  <si>
    <t>V000000209</t>
  </si>
  <si>
    <t>V000000210</t>
  </si>
  <si>
    <t>V000000211</t>
  </si>
  <si>
    <t>V000000212</t>
  </si>
  <si>
    <t>V000000213</t>
  </si>
  <si>
    <t>V000000214</t>
  </si>
  <si>
    <t>V000000215</t>
  </si>
  <si>
    <t>V000000216</t>
  </si>
  <si>
    <t>V000000217</t>
  </si>
  <si>
    <t>V000000218</t>
  </si>
  <si>
    <t>V000000219</t>
  </si>
  <si>
    <t>V000000220</t>
  </si>
  <si>
    <t>V000000221</t>
  </si>
  <si>
    <t>V000000222</t>
  </si>
  <si>
    <t>V000000223</t>
  </si>
  <si>
    <t>V000000224</t>
  </si>
  <si>
    <t>V000000225</t>
  </si>
  <si>
    <t>V000000226</t>
  </si>
  <si>
    <t>V000000227</t>
  </si>
  <si>
    <t>V000000228</t>
  </si>
  <si>
    <t>V000000229</t>
  </si>
  <si>
    <t>V000000230</t>
  </si>
  <si>
    <t>V000000231</t>
  </si>
  <si>
    <t>V000000232</t>
  </si>
  <si>
    <t>V000000233</t>
  </si>
  <si>
    <t>V000000234</t>
  </si>
  <si>
    <t>V000000235</t>
  </si>
  <si>
    <t>V000000236</t>
  </si>
  <si>
    <t>V000000237</t>
  </si>
  <si>
    <t>V000000238</t>
  </si>
  <si>
    <t>V000000239</t>
  </si>
  <si>
    <t>V000000240</t>
  </si>
  <si>
    <t>V000000241</t>
  </si>
  <si>
    <t>V000000242</t>
  </si>
  <si>
    <t>V000000243</t>
  </si>
  <si>
    <t>V000000244</t>
  </si>
  <si>
    <t>V000000245</t>
  </si>
  <si>
    <t>V000000246</t>
  </si>
  <si>
    <t>V000000247</t>
  </si>
  <si>
    <t>V000000248</t>
  </si>
  <si>
    <t>V000000249</t>
  </si>
  <si>
    <t>V000000250</t>
  </si>
  <si>
    <t>V000000251</t>
  </si>
  <si>
    <t>V000000252</t>
  </si>
  <si>
    <t>V000000253</t>
  </si>
  <si>
    <t>V000000254</t>
  </si>
  <si>
    <t>V000000255</t>
  </si>
  <si>
    <t>V000000256</t>
  </si>
  <si>
    <t>V000000257</t>
  </si>
  <si>
    <t>V000000258</t>
  </si>
  <si>
    <t>V000000259</t>
  </si>
  <si>
    <t>V000000260</t>
  </si>
  <si>
    <t>V000000261</t>
  </si>
  <si>
    <t>V000000262</t>
  </si>
  <si>
    <t>V000000263</t>
  </si>
  <si>
    <t>V000000264</t>
  </si>
  <si>
    <t>V000000265</t>
  </si>
  <si>
    <t>V000000266</t>
  </si>
  <si>
    <t>V000000267</t>
  </si>
  <si>
    <t>V000000268</t>
  </si>
  <si>
    <t>V000000269</t>
  </si>
  <si>
    <t>V000000270</t>
  </si>
  <si>
    <t>V000000271</t>
  </si>
  <si>
    <t>V000000272</t>
  </si>
  <si>
    <t>V000000273</t>
  </si>
  <si>
    <t>V000000274</t>
  </si>
  <si>
    <t>V000000275</t>
  </si>
  <si>
    <t>V000000276</t>
  </si>
  <si>
    <t>V000000277</t>
  </si>
  <si>
    <t>V000000278</t>
  </si>
  <si>
    <t>V000000279</t>
  </si>
  <si>
    <t>V000000280</t>
  </si>
  <si>
    <t>V000000281</t>
  </si>
  <si>
    <t>V000000282</t>
  </si>
  <si>
    <t>V000000283</t>
  </si>
  <si>
    <t>V000000284</t>
  </si>
  <si>
    <t>V000000285</t>
  </si>
  <si>
    <t>V000000286</t>
  </si>
  <si>
    <t>V000000287</t>
  </si>
  <si>
    <t>V000000288</t>
  </si>
  <si>
    <t>V000000289</t>
  </si>
  <si>
    <t>V000000290</t>
  </si>
  <si>
    <t>V000000291</t>
  </si>
  <si>
    <t>V000000292</t>
  </si>
  <si>
    <t>V000000293</t>
  </si>
  <si>
    <t>V000000294</t>
  </si>
  <si>
    <t>V000000295</t>
  </si>
  <si>
    <t>V000000296</t>
  </si>
  <si>
    <t>V000000297</t>
  </si>
  <si>
    <t>V000000298</t>
  </si>
  <si>
    <t>V000000299</t>
  </si>
  <si>
    <t>V000000300</t>
  </si>
  <si>
    <t>V000000301</t>
  </si>
  <si>
    <t>V000000302</t>
  </si>
  <si>
    <t>V000000303</t>
  </si>
  <si>
    <t>V000000304</t>
  </si>
  <si>
    <t>V000000305</t>
  </si>
  <si>
    <t>V000000306</t>
  </si>
  <si>
    <t>V000000307</t>
  </si>
  <si>
    <t>V000000308</t>
  </si>
  <si>
    <t>V000000309</t>
  </si>
  <si>
    <t>V000000310</t>
  </si>
  <si>
    <t>V000000311</t>
  </si>
  <si>
    <t>V000000312</t>
  </si>
  <si>
    <t>V000000313</t>
  </si>
  <si>
    <t>V000000314</t>
  </si>
  <si>
    <t>V000000315</t>
  </si>
  <si>
    <t>V000000316</t>
  </si>
  <si>
    <t>V000000317</t>
  </si>
  <si>
    <t>V000000318</t>
  </si>
  <si>
    <t>V000000319</t>
  </si>
  <si>
    <t>V000000320</t>
  </si>
  <si>
    <t>V000000321</t>
  </si>
  <si>
    <t>V000000322</t>
  </si>
  <si>
    <t>V000000323</t>
  </si>
  <si>
    <t>V000000324</t>
  </si>
  <si>
    <t>V000000325</t>
  </si>
  <si>
    <t>V000000326</t>
  </si>
  <si>
    <t>V000000327</t>
  </si>
  <si>
    <t>V000000328</t>
  </si>
  <si>
    <t>V000000329</t>
  </si>
  <si>
    <t>V000000330</t>
  </si>
  <si>
    <t>V000000331</t>
  </si>
  <si>
    <t>V000000332</t>
  </si>
  <si>
    <t>V000000333</t>
  </si>
  <si>
    <t>V000000334</t>
  </si>
  <si>
    <t>V000000335</t>
  </si>
  <si>
    <t>V000000336</t>
  </si>
  <si>
    <t>V000000337</t>
  </si>
  <si>
    <t>V000000338</t>
  </si>
  <si>
    <t>V000000339</t>
  </si>
  <si>
    <t>V000000340</t>
  </si>
  <si>
    <t>V000000341</t>
  </si>
  <si>
    <t>V000000342</t>
  </si>
  <si>
    <t>V000000343</t>
  </si>
  <si>
    <t>V000000344</t>
  </si>
  <si>
    <t>V000000345</t>
  </si>
  <si>
    <t>V000000346</t>
  </si>
  <si>
    <t>V000000347</t>
  </si>
  <si>
    <t>V000000348</t>
  </si>
  <si>
    <t>V000000349</t>
  </si>
  <si>
    <t>V000000350</t>
  </si>
  <si>
    <t>V000000351</t>
  </si>
  <si>
    <t>V000000352</t>
  </si>
  <si>
    <t>V000000353</t>
  </si>
  <si>
    <t>V000000354</t>
  </si>
  <si>
    <t>V000000355</t>
  </si>
  <si>
    <t>V000000356</t>
  </si>
  <si>
    <t>V000000357</t>
  </si>
  <si>
    <t>V000000358</t>
  </si>
  <si>
    <t>V000000359</t>
  </si>
  <si>
    <t>V000000360</t>
  </si>
  <si>
    <t>V000000361</t>
  </si>
  <si>
    <t>V000000362</t>
  </si>
  <si>
    <t>V000000363</t>
  </si>
  <si>
    <t>V000000364</t>
  </si>
  <si>
    <t>V000000365</t>
  </si>
  <si>
    <t>V000000366</t>
  </si>
  <si>
    <t>V000000367</t>
  </si>
  <si>
    <t>V000000368</t>
  </si>
  <si>
    <t>V000000369</t>
  </si>
  <si>
    <t>V000000370</t>
  </si>
  <si>
    <t>V000000371</t>
  </si>
  <si>
    <t>V000000372</t>
  </si>
  <si>
    <t>V000000373</t>
  </si>
  <si>
    <t>V000000374</t>
  </si>
  <si>
    <t>V000000375</t>
  </si>
  <si>
    <t>V000000376</t>
  </si>
  <si>
    <t>V000000377</t>
  </si>
  <si>
    <t>V000000378</t>
  </si>
  <si>
    <t>V000000379</t>
  </si>
  <si>
    <t>V000000380</t>
  </si>
  <si>
    <t>V000000381</t>
  </si>
  <si>
    <t>V000000382</t>
  </si>
  <si>
    <t>V000000383</t>
  </si>
  <si>
    <t>V000000384</t>
  </si>
  <si>
    <t>V000000385</t>
  </si>
  <si>
    <t>V000000386</t>
  </si>
  <si>
    <t>V000000387</t>
  </si>
  <si>
    <t>V000000388</t>
  </si>
  <si>
    <t>V000000389</t>
  </si>
  <si>
    <t>V000000390</t>
  </si>
  <si>
    <t>V000000391</t>
  </si>
  <si>
    <t>V000000392</t>
  </si>
  <si>
    <t>V000000393</t>
  </si>
  <si>
    <t>V000000394</t>
  </si>
  <si>
    <t>V000000395</t>
  </si>
  <si>
    <t>V000000396</t>
  </si>
  <si>
    <t>V000000397</t>
  </si>
  <si>
    <t>V000000398</t>
  </si>
  <si>
    <t>V000000399</t>
  </si>
  <si>
    <t>V000000400</t>
  </si>
  <si>
    <t>V000000401</t>
  </si>
  <si>
    <t>V000000402</t>
  </si>
  <si>
    <t>V000000403</t>
  </si>
  <si>
    <t>V000000404</t>
  </si>
  <si>
    <t>V000000405</t>
  </si>
  <si>
    <t>V000000406</t>
  </si>
  <si>
    <t>V000000407</t>
  </si>
  <si>
    <t>V000000408</t>
  </si>
  <si>
    <t>V000000409</t>
  </si>
  <si>
    <t>V000000410</t>
  </si>
  <si>
    <t>V000000411</t>
  </si>
  <si>
    <t>V000000412</t>
  </si>
  <si>
    <t>V000000413</t>
  </si>
  <si>
    <t>V000000414</t>
  </si>
  <si>
    <t>V000000415</t>
  </si>
  <si>
    <t>V000000416</t>
  </si>
  <si>
    <t>V000000417</t>
  </si>
  <si>
    <t>V000000418</t>
  </si>
  <si>
    <t>V000000419</t>
  </si>
  <si>
    <t>V000000420</t>
  </si>
  <si>
    <t>V000000421</t>
  </si>
  <si>
    <t>V000000422</t>
  </si>
  <si>
    <t>V000000423</t>
  </si>
  <si>
    <t>V000000424</t>
  </si>
  <si>
    <t>V000000425</t>
  </si>
  <si>
    <t>V000000426</t>
  </si>
  <si>
    <t>V000000427</t>
  </si>
  <si>
    <t>V000000428</t>
  </si>
  <si>
    <t>V000000429</t>
  </si>
  <si>
    <t>V000000430</t>
  </si>
  <si>
    <t>V000000431</t>
  </si>
  <si>
    <t>V000000432</t>
  </si>
  <si>
    <t>V000000433</t>
  </si>
  <si>
    <t>V000000434</t>
  </si>
  <si>
    <t>V000000435</t>
  </si>
  <si>
    <t>V000000436</t>
  </si>
  <si>
    <t>V000000437</t>
  </si>
  <si>
    <t>V000000438</t>
  </si>
  <si>
    <t>V000000439</t>
  </si>
  <si>
    <t>V000000440</t>
  </si>
  <si>
    <t>V000000441</t>
  </si>
  <si>
    <t>V000000442</t>
  </si>
  <si>
    <t>V000000443</t>
  </si>
  <si>
    <t>V000000444</t>
  </si>
  <si>
    <t>V000000445</t>
  </si>
  <si>
    <t>V000000446</t>
  </si>
  <si>
    <t>V000000447</t>
  </si>
  <si>
    <t>V000000448</t>
  </si>
  <si>
    <t>V000000449</t>
  </si>
  <si>
    <t>V000000450</t>
  </si>
  <si>
    <t>V000000451</t>
  </si>
  <si>
    <t>V000000452</t>
  </si>
  <si>
    <t>V000000453</t>
  </si>
  <si>
    <t>V000000454</t>
  </si>
  <si>
    <t>V000000455</t>
  </si>
  <si>
    <t>V000000456</t>
  </si>
  <si>
    <t>V000000457</t>
  </si>
  <si>
    <t>V000000458</t>
  </si>
  <si>
    <t>V000000459</t>
  </si>
  <si>
    <t>V000000460</t>
  </si>
  <si>
    <t>V000000461</t>
  </si>
  <si>
    <t>V000000462</t>
  </si>
  <si>
    <t>V000000463</t>
  </si>
  <si>
    <t>V000000464</t>
  </si>
  <si>
    <t>V000000465</t>
  </si>
  <si>
    <t>V000000466</t>
  </si>
  <si>
    <t>V000000467</t>
  </si>
  <si>
    <t>V000000468</t>
  </si>
  <si>
    <t>V000000469</t>
  </si>
  <si>
    <t>V000000470</t>
  </si>
  <si>
    <t>V000000471</t>
  </si>
  <si>
    <t>V000000472</t>
  </si>
  <si>
    <t>V000000473</t>
  </si>
  <si>
    <t>V000000474</t>
  </si>
  <si>
    <t>V000000475</t>
  </si>
  <si>
    <t>V000000476</t>
  </si>
  <si>
    <t>V000000477</t>
  </si>
  <si>
    <t>V000000478</t>
  </si>
  <si>
    <t>V000000479</t>
  </si>
  <si>
    <t>V000000480</t>
  </si>
  <si>
    <t>V000000481</t>
  </si>
  <si>
    <t>V000000482</t>
  </si>
  <si>
    <t>V000000483</t>
  </si>
  <si>
    <t>V000000484</t>
  </si>
  <si>
    <t>V000000485</t>
  </si>
  <si>
    <t>V000000486</t>
  </si>
  <si>
    <t>V000000487</t>
  </si>
  <si>
    <t>V000000488</t>
  </si>
  <si>
    <t>V000000489</t>
  </si>
  <si>
    <t>V000000490</t>
  </si>
  <si>
    <t>V000000491</t>
  </si>
  <si>
    <t>V000000492</t>
  </si>
  <si>
    <t>V000000493</t>
  </si>
  <si>
    <t>V000000494</t>
  </si>
  <si>
    <t>V000000495</t>
  </si>
  <si>
    <t>V000000496</t>
  </si>
  <si>
    <t>V000000497</t>
  </si>
  <si>
    <t>V000000498</t>
  </si>
  <si>
    <t>V000000499</t>
  </si>
  <si>
    <t>V000000500</t>
  </si>
  <si>
    <t>V000000501</t>
  </si>
  <si>
    <t>V000000502</t>
  </si>
  <si>
    <t>V000000503</t>
  </si>
  <si>
    <t>V000000504</t>
  </si>
  <si>
    <t>V000000505</t>
  </si>
  <si>
    <t>V000000506</t>
  </si>
  <si>
    <t>V000000507</t>
  </si>
  <si>
    <t>V000000508</t>
  </si>
  <si>
    <t>V000000509</t>
  </si>
  <si>
    <t>V000000510</t>
  </si>
  <si>
    <t>V000000511</t>
  </si>
  <si>
    <t>V000000512</t>
  </si>
  <si>
    <t>V000000513</t>
  </si>
  <si>
    <t>V000000514</t>
  </si>
  <si>
    <t>V000000515</t>
  </si>
  <si>
    <t>V000000516</t>
  </si>
  <si>
    <t>V000000517</t>
  </si>
  <si>
    <t>V000000518</t>
  </si>
  <si>
    <t>V000000519</t>
  </si>
  <si>
    <t>V000000520</t>
  </si>
  <si>
    <t>V000000521</t>
  </si>
  <si>
    <t>V000000522</t>
  </si>
  <si>
    <t>V000000523</t>
  </si>
  <si>
    <t>V000000524</t>
  </si>
  <si>
    <t>V000000525</t>
  </si>
  <si>
    <t>V000000526</t>
  </si>
  <si>
    <t>V000000527</t>
  </si>
  <si>
    <t>V000000528</t>
  </si>
  <si>
    <t>V000000529</t>
  </si>
  <si>
    <t>V000000530</t>
  </si>
  <si>
    <t>V000000531</t>
  </si>
  <si>
    <t>V000000532</t>
  </si>
  <si>
    <t>V000000533</t>
  </si>
  <si>
    <t>V000000534</t>
  </si>
  <si>
    <t>V000000535</t>
  </si>
  <si>
    <t>V000000536</t>
  </si>
  <si>
    <t>V000000537</t>
  </si>
  <si>
    <t>V000000538</t>
  </si>
  <si>
    <t>V000000539</t>
  </si>
  <si>
    <t>V000000540</t>
  </si>
  <si>
    <t>V000000541</t>
  </si>
  <si>
    <t>V000000542</t>
  </si>
  <si>
    <t>V000000543</t>
  </si>
  <si>
    <t>V000000544</t>
  </si>
  <si>
    <t>V000000545</t>
  </si>
  <si>
    <t>V000000546</t>
  </si>
  <si>
    <t>V000000547</t>
  </si>
  <si>
    <t>V000000548</t>
  </si>
  <si>
    <t>V000000549</t>
  </si>
  <si>
    <t>V000000550</t>
  </si>
  <si>
    <t>V000000551</t>
  </si>
  <si>
    <t>V000000552</t>
  </si>
  <si>
    <t>V000000553</t>
  </si>
  <si>
    <t>V000000554</t>
  </si>
  <si>
    <t>V000000555</t>
  </si>
  <si>
    <t>V000000556</t>
  </si>
  <si>
    <t>V000000557</t>
  </si>
  <si>
    <t>V000000558</t>
  </si>
  <si>
    <t>V000000559</t>
  </si>
  <si>
    <t>V000000560</t>
  </si>
  <si>
    <t>V000000561</t>
  </si>
  <si>
    <t>V000000562</t>
  </si>
  <si>
    <t>V000000563</t>
  </si>
  <si>
    <t>V000000564</t>
  </si>
  <si>
    <t>V000000565</t>
  </si>
  <si>
    <t>V000000566</t>
  </si>
  <si>
    <t>V000000567</t>
  </si>
  <si>
    <t>V000000568</t>
  </si>
  <si>
    <t>V000000569</t>
  </si>
  <si>
    <t>V000000570</t>
  </si>
  <si>
    <t>V000000571</t>
  </si>
  <si>
    <t>V000000572</t>
  </si>
  <si>
    <t>V000000573</t>
  </si>
  <si>
    <t>V000000574</t>
  </si>
  <si>
    <t>V000000575</t>
  </si>
  <si>
    <t>V000000576</t>
  </si>
  <si>
    <t>V000000577</t>
  </si>
  <si>
    <t>V000000578</t>
  </si>
  <si>
    <t>V000000579</t>
  </si>
  <si>
    <t>V000000580</t>
  </si>
  <si>
    <t>V000000581</t>
  </si>
  <si>
    <t>V000000582</t>
  </si>
  <si>
    <t>V000000583</t>
  </si>
  <si>
    <t>V000000584</t>
  </si>
  <si>
    <t>V000000585</t>
  </si>
  <si>
    <t>V000000586</t>
  </si>
  <si>
    <t>V000000587</t>
  </si>
  <si>
    <t>V000000588</t>
  </si>
  <si>
    <t>V000000589</t>
  </si>
  <si>
    <t>V000000590</t>
  </si>
  <si>
    <t>V000000591</t>
  </si>
  <si>
    <t>V000000592</t>
  </si>
  <si>
    <t>V000000593</t>
  </si>
  <si>
    <t>V000000594</t>
  </si>
  <si>
    <t>V000000595</t>
  </si>
  <si>
    <t>V000000596</t>
  </si>
  <si>
    <t>V000000597</t>
  </si>
  <si>
    <t>V000000598</t>
  </si>
  <si>
    <t>V000000599</t>
  </si>
  <si>
    <t>V000000600</t>
  </si>
  <si>
    <t>V000000601</t>
  </si>
  <si>
    <t>V000000602</t>
  </si>
  <si>
    <t>V000000603</t>
  </si>
  <si>
    <t>V000000604</t>
  </si>
  <si>
    <t>V000000605</t>
  </si>
  <si>
    <t>V000000606</t>
  </si>
  <si>
    <t>V000000607</t>
  </si>
  <si>
    <t>V000000608</t>
  </si>
  <si>
    <t>V000000609</t>
  </si>
  <si>
    <t>V000000610</t>
  </si>
  <si>
    <t>V000000611</t>
  </si>
  <si>
    <t>V000000612</t>
  </si>
  <si>
    <t>V000000613</t>
  </si>
  <si>
    <t>V000000614</t>
  </si>
  <si>
    <t>V000000615</t>
  </si>
  <si>
    <t>V000000616</t>
  </si>
  <si>
    <t>V000000617</t>
  </si>
  <si>
    <t>V000000618</t>
  </si>
  <si>
    <t>V000000619</t>
  </si>
  <si>
    <t>V000000620</t>
  </si>
  <si>
    <t>V000000621</t>
  </si>
  <si>
    <t>V000000622</t>
  </si>
  <si>
    <t>V000000623</t>
  </si>
  <si>
    <t>V000000624</t>
  </si>
  <si>
    <t>V000000625</t>
  </si>
  <si>
    <t>V000000626</t>
  </si>
  <si>
    <t>V000000627</t>
  </si>
  <si>
    <t>V000000628</t>
  </si>
  <si>
    <t>V000000629</t>
  </si>
  <si>
    <t>V000000630</t>
  </si>
  <si>
    <t>V000000631</t>
  </si>
  <si>
    <t>V000000632</t>
  </si>
  <si>
    <t>V000000633</t>
  </si>
  <si>
    <t>V000000634</t>
  </si>
  <si>
    <t>V000000635</t>
  </si>
  <si>
    <t>V000000636</t>
  </si>
  <si>
    <t>V000000637</t>
  </si>
  <si>
    <t>V000000638</t>
  </si>
  <si>
    <t>V000000639</t>
  </si>
  <si>
    <t>V000000640</t>
  </si>
  <si>
    <t>V000000641</t>
  </si>
  <si>
    <t>V000000642</t>
  </si>
  <si>
    <t>V000000643</t>
  </si>
  <si>
    <t>V000000644</t>
  </si>
  <si>
    <t>V000000645</t>
  </si>
  <si>
    <t>V000000646</t>
  </si>
  <si>
    <t>V000000647</t>
  </si>
  <si>
    <t>V000000648</t>
  </si>
  <si>
    <t>V000000649</t>
  </si>
  <si>
    <t>V000000650</t>
  </si>
  <si>
    <t>V000000651</t>
  </si>
  <si>
    <t>V000000652</t>
  </si>
  <si>
    <t>V000000653</t>
  </si>
  <si>
    <t>V000000654</t>
  </si>
  <si>
    <t>V000000655</t>
  </si>
  <si>
    <t>V000000656</t>
  </si>
  <si>
    <t>V000000657</t>
  </si>
  <si>
    <t>V000000658</t>
  </si>
  <si>
    <t>V000000659</t>
  </si>
  <si>
    <t>V000000660</t>
  </si>
  <si>
    <t>V000000661</t>
  </si>
  <si>
    <t>V000000662</t>
  </si>
  <si>
    <t>V000000663</t>
  </si>
  <si>
    <t>V000000664</t>
  </si>
  <si>
    <t>V000000665</t>
  </si>
  <si>
    <t>V000000666</t>
  </si>
  <si>
    <t>V000000667</t>
  </si>
  <si>
    <t>V000000668</t>
  </si>
  <si>
    <t>V000000669</t>
  </si>
  <si>
    <t>V000000670</t>
  </si>
  <si>
    <t>V000000671</t>
  </si>
  <si>
    <t>V000000672</t>
  </si>
  <si>
    <t>V000000673</t>
  </si>
  <si>
    <t>V000000674</t>
  </si>
  <si>
    <t>V000000675</t>
  </si>
  <si>
    <t>V000000676</t>
  </si>
  <si>
    <t>V000000677</t>
  </si>
  <si>
    <t>V000000678</t>
  </si>
  <si>
    <t>V000000679</t>
  </si>
  <si>
    <t>V000000680</t>
  </si>
  <si>
    <t>V000000681</t>
  </si>
  <si>
    <t>V000000682</t>
  </si>
  <si>
    <t>V000000683</t>
  </si>
  <si>
    <t>V000000684</t>
  </si>
  <si>
    <t>V000000685</t>
  </si>
  <si>
    <t>V000000686</t>
  </si>
  <si>
    <t>V000000687</t>
  </si>
  <si>
    <t>V000000688</t>
  </si>
  <si>
    <t>V000000689</t>
  </si>
  <si>
    <t>V000000690</t>
  </si>
  <si>
    <t>V000000691</t>
  </si>
  <si>
    <t>V000000692</t>
  </si>
  <si>
    <t>V000000693</t>
  </si>
  <si>
    <t>V000000694</t>
  </si>
  <si>
    <t>V000000695</t>
  </si>
  <si>
    <t>V000000696</t>
  </si>
  <si>
    <t>V000000697</t>
  </si>
  <si>
    <t>V000000698</t>
  </si>
  <si>
    <t>V000000699</t>
  </si>
  <si>
    <t>V000000700</t>
  </si>
  <si>
    <t>V000000701</t>
  </si>
  <si>
    <t>V000000702</t>
  </si>
  <si>
    <t>V000000703</t>
  </si>
  <si>
    <t>V000000704</t>
  </si>
  <si>
    <t>V000000705</t>
  </si>
  <si>
    <t>V000000706</t>
  </si>
  <si>
    <t>V000000707</t>
  </si>
  <si>
    <t>V000000708</t>
  </si>
  <si>
    <t>V000000709</t>
  </si>
  <si>
    <t>V000000710</t>
  </si>
  <si>
    <t>V000000711</t>
  </si>
  <si>
    <t>V000000712</t>
  </si>
  <si>
    <t>V000000713</t>
  </si>
  <si>
    <t>V000000714</t>
  </si>
  <si>
    <t>V000000715</t>
  </si>
  <si>
    <t>V000000716</t>
  </si>
  <si>
    <t>V000000717</t>
  </si>
  <si>
    <t>V000000718</t>
  </si>
  <si>
    <t>V000000719</t>
  </si>
  <si>
    <t>V000000720</t>
  </si>
  <si>
    <t>V000000721</t>
  </si>
  <si>
    <t>V000000722</t>
  </si>
  <si>
    <t>V000000723</t>
  </si>
  <si>
    <t>V000000724</t>
  </si>
  <si>
    <t>V000000725</t>
  </si>
  <si>
    <t>V000000726</t>
  </si>
  <si>
    <t>V000000727</t>
  </si>
  <si>
    <t>V000000728</t>
  </si>
  <si>
    <t>V000000729</t>
  </si>
  <si>
    <t>V000000730</t>
  </si>
  <si>
    <t>V000000731</t>
  </si>
  <si>
    <t>V000000732</t>
  </si>
  <si>
    <t>V000000733</t>
  </si>
  <si>
    <t>V000000734</t>
  </si>
  <si>
    <t>V000000735</t>
  </si>
  <si>
    <t>V000000736</t>
  </si>
  <si>
    <t>V000000737</t>
  </si>
  <si>
    <t>V000000738</t>
  </si>
  <si>
    <t>V000000739</t>
  </si>
  <si>
    <t>V000000740</t>
  </si>
  <si>
    <t>V000000741</t>
  </si>
  <si>
    <t>V000000742</t>
  </si>
  <si>
    <t>V000000743</t>
  </si>
  <si>
    <t>V000000744</t>
  </si>
  <si>
    <t>V000000745</t>
  </si>
  <si>
    <t>V000000746</t>
  </si>
  <si>
    <t>V000000747</t>
  </si>
  <si>
    <t>V000000748</t>
  </si>
  <si>
    <t>V000000749</t>
  </si>
  <si>
    <t>V000000750</t>
  </si>
  <si>
    <t>V000000751</t>
  </si>
  <si>
    <t>V000000752</t>
  </si>
  <si>
    <t>V000000753</t>
  </si>
  <si>
    <t>V000000754</t>
  </si>
  <si>
    <t>V000000755</t>
  </si>
  <si>
    <t>V000000756</t>
  </si>
  <si>
    <t>V000000757</t>
  </si>
  <si>
    <t>V000000758</t>
  </si>
  <si>
    <t>V000000759</t>
  </si>
  <si>
    <t>V000000760</t>
  </si>
  <si>
    <t>V000000761</t>
  </si>
  <si>
    <t>V000000762</t>
  </si>
  <si>
    <t>V000000763</t>
  </si>
  <si>
    <t>V000000764</t>
  </si>
  <si>
    <t>V000000765</t>
  </si>
  <si>
    <t>V000000766</t>
  </si>
  <si>
    <t>V000000767</t>
  </si>
  <si>
    <t>V000000768</t>
  </si>
  <si>
    <t>V000000769</t>
  </si>
  <si>
    <t>V000000770</t>
  </si>
  <si>
    <t>V000000771</t>
  </si>
  <si>
    <t>V000000772</t>
  </si>
  <si>
    <t>V000000773</t>
  </si>
  <si>
    <t>V000000774</t>
  </si>
  <si>
    <t>V000000775</t>
  </si>
  <si>
    <t>V000000776</t>
  </si>
  <si>
    <t>V000000777</t>
  </si>
  <si>
    <t>V000000778</t>
  </si>
  <si>
    <t>V000000779</t>
  </si>
  <si>
    <t>V000000780</t>
  </si>
  <si>
    <t>V000000781</t>
  </si>
  <si>
    <t>V000000782</t>
  </si>
  <si>
    <t>V000000783</t>
  </si>
  <si>
    <t>V000000784</t>
  </si>
  <si>
    <t>V000000785</t>
  </si>
  <si>
    <t>V000000786</t>
  </si>
  <si>
    <t>V000000787</t>
  </si>
  <si>
    <t>V000000788</t>
  </si>
  <si>
    <t>V000000789</t>
  </si>
  <si>
    <t>V000000790</t>
  </si>
  <si>
    <t>V000000791</t>
  </si>
  <si>
    <t>V000000792</t>
  </si>
  <si>
    <t>V000000793</t>
  </si>
  <si>
    <t>V000000794</t>
  </si>
  <si>
    <t>V000000795</t>
  </si>
  <si>
    <t>V000000796</t>
  </si>
  <si>
    <t>V000000797</t>
  </si>
  <si>
    <t>V000000798</t>
  </si>
  <si>
    <t>V000000799</t>
  </si>
  <si>
    <t>V000000800</t>
  </si>
  <si>
    <t>V000000801</t>
  </si>
  <si>
    <t>V000000802</t>
  </si>
  <si>
    <t>V000000803</t>
  </si>
  <si>
    <t>V000000804</t>
  </si>
  <si>
    <t>V000000805</t>
  </si>
  <si>
    <t>V000000806</t>
  </si>
  <si>
    <t>V000000807</t>
  </si>
  <si>
    <t>V000000808</t>
  </si>
  <si>
    <t>V000000809</t>
  </si>
  <si>
    <t>V000000810</t>
  </si>
  <si>
    <t>V000000811</t>
  </si>
  <si>
    <t>V000000812</t>
  </si>
  <si>
    <t>V000000813</t>
  </si>
  <si>
    <t>V000000814</t>
  </si>
  <si>
    <t>V000000815</t>
  </si>
  <si>
    <t>V000000816</t>
  </si>
  <si>
    <t>V000000817</t>
  </si>
  <si>
    <t>V000000818</t>
  </si>
  <si>
    <t>V000000819</t>
  </si>
  <si>
    <t>V000000820</t>
  </si>
  <si>
    <t>V000000821</t>
  </si>
  <si>
    <t>V000000822</t>
  </si>
  <si>
    <t>V000000823</t>
  </si>
  <si>
    <t>V000000824</t>
  </si>
  <si>
    <t>V000000825</t>
  </si>
  <si>
    <t>V000000826</t>
  </si>
  <si>
    <t>V000000827</t>
  </si>
  <si>
    <t>V000000828</t>
  </si>
  <si>
    <t>V000000829</t>
  </si>
  <si>
    <t>V000000830</t>
  </si>
  <si>
    <t>V000000831</t>
  </si>
  <si>
    <t>V000000832</t>
  </si>
  <si>
    <t>V000000833</t>
  </si>
  <si>
    <t>V000000834</t>
  </si>
  <si>
    <t>V000000835</t>
  </si>
  <si>
    <t>V000000836</t>
  </si>
  <si>
    <t>V000000837</t>
  </si>
  <si>
    <t>V000000838</t>
  </si>
  <si>
    <t>V000000839</t>
  </si>
  <si>
    <t>V000000840</t>
  </si>
  <si>
    <t>V000000841</t>
  </si>
  <si>
    <t>V000000842</t>
  </si>
  <si>
    <t>V000000843</t>
  </si>
  <si>
    <t>V000000844</t>
  </si>
  <si>
    <t>V000000845</t>
  </si>
  <si>
    <t>V000000846</t>
  </si>
  <si>
    <t>V000000847</t>
  </si>
  <si>
    <t>V000000848</t>
  </si>
  <si>
    <t>V000000849</t>
  </si>
  <si>
    <t>V000000850</t>
  </si>
  <si>
    <t>V000000851</t>
  </si>
  <si>
    <t>V000000852</t>
  </si>
  <si>
    <t>V000000853</t>
  </si>
  <si>
    <t>V000000854</t>
  </si>
  <si>
    <t>V000000855</t>
  </si>
  <si>
    <t>V000000856</t>
  </si>
  <si>
    <t>V000000857</t>
  </si>
  <si>
    <t>V000000858</t>
  </si>
  <si>
    <t>V000000859</t>
  </si>
  <si>
    <t>V000000860</t>
  </si>
  <si>
    <t>V000000861</t>
  </si>
  <si>
    <t>V000000862</t>
  </si>
  <si>
    <t>V000000863</t>
  </si>
  <si>
    <t>V000000864</t>
  </si>
  <si>
    <t>V000000865</t>
  </si>
  <si>
    <t>V000000866</t>
  </si>
  <si>
    <t>V000000867</t>
  </si>
  <si>
    <t>V000000868</t>
  </si>
  <si>
    <t>V000000869</t>
  </si>
  <si>
    <t>V000000870</t>
  </si>
  <si>
    <t>V000000871</t>
  </si>
  <si>
    <t>V000000872</t>
  </si>
  <si>
    <t>V000000873</t>
  </si>
  <si>
    <t>V000000874</t>
  </si>
  <si>
    <t>V000000875</t>
  </si>
  <si>
    <t>V000000876</t>
  </si>
  <si>
    <t>V000000877</t>
  </si>
  <si>
    <t>V000000878</t>
  </si>
  <si>
    <t>V000000879</t>
  </si>
  <si>
    <t>V000000880</t>
  </si>
  <si>
    <t>V000000881</t>
  </si>
  <si>
    <t>V000000882</t>
  </si>
  <si>
    <t>V000000883</t>
  </si>
  <si>
    <t>V000000884</t>
  </si>
  <si>
    <t>V000000885</t>
  </si>
  <si>
    <t>V000000886</t>
  </si>
  <si>
    <t>V000000887</t>
  </si>
  <si>
    <t>V000000888</t>
  </si>
  <si>
    <t>V000000889</t>
  </si>
  <si>
    <t>V000000890</t>
  </si>
  <si>
    <t>V000000891</t>
  </si>
  <si>
    <t>V000000892</t>
  </si>
  <si>
    <t>V000000893</t>
  </si>
  <si>
    <t>V000000894</t>
  </si>
  <si>
    <t>V000000895</t>
  </si>
  <si>
    <t>V000000896</t>
  </si>
  <si>
    <t>V000000897</t>
  </si>
  <si>
    <t>V000000898</t>
  </si>
  <si>
    <t>V000000899</t>
  </si>
  <si>
    <t>V000000900</t>
  </si>
  <si>
    <t>V000000901</t>
  </si>
  <si>
    <t>V000000902</t>
  </si>
  <si>
    <t>V000000903</t>
  </si>
  <si>
    <t>V000000904</t>
  </si>
  <si>
    <t>V000000905</t>
  </si>
  <si>
    <t>V000000906</t>
  </si>
  <si>
    <t>V000000907</t>
  </si>
  <si>
    <t>V000000908</t>
  </si>
  <si>
    <t>V000000909</t>
  </si>
  <si>
    <t>V000000910</t>
  </si>
  <si>
    <t>V000000911</t>
  </si>
  <si>
    <t>V000000912</t>
  </si>
  <si>
    <t>V000000913</t>
  </si>
  <si>
    <t>V000000914</t>
  </si>
  <si>
    <t>V000000915</t>
  </si>
  <si>
    <t>V000000916</t>
  </si>
  <si>
    <t>V000000917</t>
  </si>
  <si>
    <t>V000000918</t>
  </si>
  <si>
    <t>V000000919</t>
  </si>
  <si>
    <t>V000000920</t>
  </si>
  <si>
    <t>V000000921</t>
  </si>
  <si>
    <t>V000000922</t>
  </si>
  <si>
    <t>V000000923</t>
  </si>
  <si>
    <t>V000000924</t>
  </si>
  <si>
    <t>V000000925</t>
  </si>
  <si>
    <t>V000000926</t>
  </si>
  <si>
    <t>V000000927</t>
  </si>
  <si>
    <t>V000000928</t>
  </si>
  <si>
    <t>V000000929</t>
  </si>
  <si>
    <t>V000000930</t>
  </si>
  <si>
    <t>V000000931</t>
  </si>
  <si>
    <t>V000000932</t>
  </si>
  <si>
    <t>V000000933</t>
  </si>
  <si>
    <t>V000000934</t>
  </si>
  <si>
    <t>V000000935</t>
  </si>
  <si>
    <t>V000000936</t>
  </si>
  <si>
    <t>V000000937</t>
  </si>
  <si>
    <t>V000000938</t>
  </si>
  <si>
    <t>V000000939</t>
  </si>
  <si>
    <t>V000000940</t>
  </si>
  <si>
    <t>V000000941</t>
  </si>
  <si>
    <t>V000000942</t>
  </si>
  <si>
    <t>V000000943</t>
  </si>
  <si>
    <t>V000000944</t>
  </si>
  <si>
    <t>V000000945</t>
  </si>
  <si>
    <t>V000000946</t>
  </si>
  <si>
    <t>V000000947</t>
  </si>
  <si>
    <t>V000000948</t>
  </si>
  <si>
    <t>V000000949</t>
  </si>
  <si>
    <t>V000000950</t>
  </si>
  <si>
    <t>V000000951</t>
  </si>
  <si>
    <t>V000000952</t>
  </si>
  <si>
    <t>V000000953</t>
  </si>
  <si>
    <t>V000000954</t>
  </si>
  <si>
    <t>V000000955</t>
  </si>
  <si>
    <t>V000000956</t>
  </si>
  <si>
    <t>V000000957</t>
  </si>
  <si>
    <t>V000000958</t>
  </si>
  <si>
    <t>V000000959</t>
  </si>
  <si>
    <t>V000000960</t>
  </si>
  <si>
    <t>V000000961</t>
  </si>
  <si>
    <t>V000000962</t>
  </si>
  <si>
    <t>V000000963</t>
  </si>
  <si>
    <t>V000000964</t>
  </si>
  <si>
    <t>V000000965</t>
  </si>
  <si>
    <t>V000000966</t>
  </si>
  <si>
    <t>V000000967</t>
  </si>
  <si>
    <t>V000000968</t>
  </si>
  <si>
    <t>V000000969</t>
  </si>
  <si>
    <t>V000000970</t>
  </si>
  <si>
    <t>V000000971</t>
  </si>
  <si>
    <t>V000000972</t>
  </si>
  <si>
    <t>V000000973</t>
  </si>
  <si>
    <t>V000000974</t>
  </si>
  <si>
    <t>V000000975</t>
  </si>
  <si>
    <t>V000000976</t>
  </si>
  <si>
    <t>V000000977</t>
  </si>
  <si>
    <t>V000000978</t>
  </si>
  <si>
    <t>V000000979</t>
  </si>
  <si>
    <t>V000000980</t>
  </si>
  <si>
    <t>V000000981</t>
  </si>
  <si>
    <t>V000000982</t>
  </si>
  <si>
    <t>V000000983</t>
  </si>
  <si>
    <t>V000000984</t>
  </si>
  <si>
    <t>V000000985</t>
  </si>
  <si>
    <t>V000000986</t>
  </si>
  <si>
    <t>V000000987</t>
  </si>
  <si>
    <t>V000000988</t>
  </si>
  <si>
    <t>V000000989</t>
  </si>
  <si>
    <t>V000000990</t>
  </si>
  <si>
    <t>V000000991</t>
  </si>
  <si>
    <t>V000000992</t>
  </si>
  <si>
    <t>V000000993</t>
  </si>
  <si>
    <t>V000000994</t>
  </si>
  <si>
    <t>V000000995</t>
  </si>
  <si>
    <t>V000000996</t>
  </si>
  <si>
    <t>V000000997</t>
  </si>
  <si>
    <t>V000000998</t>
  </si>
  <si>
    <t>V000000999</t>
  </si>
  <si>
    <t>V000001000</t>
  </si>
  <si>
    <t>V000001001</t>
  </si>
  <si>
    <t>V000001002</t>
  </si>
  <si>
    <t>V000001003</t>
  </si>
  <si>
    <t>V000001004</t>
  </si>
  <si>
    <t>V000001005</t>
  </si>
  <si>
    <t>V000001006</t>
  </si>
  <si>
    <t>V000001007</t>
  </si>
  <si>
    <t>V000001008</t>
  </si>
  <si>
    <t>V000001009</t>
  </si>
  <si>
    <t>V000001010</t>
  </si>
  <si>
    <t>V000001011</t>
  </si>
  <si>
    <t>V000001012</t>
  </si>
  <si>
    <t>V000001013</t>
  </si>
  <si>
    <t>V000001014</t>
  </si>
  <si>
    <t>V000001015</t>
  </si>
  <si>
    <t>V000001016</t>
  </si>
  <si>
    <t>V000001017</t>
  </si>
  <si>
    <t>V000001018</t>
  </si>
  <si>
    <t>V000001019</t>
  </si>
  <si>
    <t>V000001020</t>
  </si>
  <si>
    <t>V000001021</t>
  </si>
  <si>
    <t>V000001022</t>
  </si>
  <si>
    <t>V000001023</t>
  </si>
  <si>
    <t>V000001024</t>
  </si>
  <si>
    <t>V000001025</t>
  </si>
  <si>
    <t>V000001026</t>
  </si>
  <si>
    <t>V000001027</t>
  </si>
  <si>
    <t>V000001028</t>
  </si>
  <si>
    <t>V000001029</t>
  </si>
  <si>
    <t>V000001030</t>
  </si>
  <si>
    <t>V000001031</t>
  </si>
  <si>
    <t>V000001032</t>
  </si>
  <si>
    <t>V000001033</t>
  </si>
  <si>
    <t>V000001034</t>
  </si>
  <si>
    <t>V000001035</t>
  </si>
  <si>
    <t>V000001036</t>
  </si>
  <si>
    <t>V000001037</t>
  </si>
  <si>
    <t>V000001038</t>
  </si>
  <si>
    <t>V000001039</t>
  </si>
  <si>
    <t>V000001040</t>
  </si>
  <si>
    <t>V000001041</t>
  </si>
  <si>
    <t>V000001042</t>
  </si>
  <si>
    <t>V000001043</t>
  </si>
  <si>
    <t>V000001044</t>
  </si>
  <si>
    <t>V000001045</t>
  </si>
  <si>
    <t>V000001046</t>
  </si>
  <si>
    <t>V000001047</t>
  </si>
  <si>
    <t>V000001048</t>
  </si>
  <si>
    <t>V000001049</t>
  </si>
  <si>
    <t>V000001050</t>
  </si>
  <si>
    <t>V000001051</t>
  </si>
  <si>
    <t>V000001052</t>
  </si>
  <si>
    <t>V000001053</t>
  </si>
  <si>
    <t>V000001054</t>
  </si>
  <si>
    <t>V000001055</t>
  </si>
  <si>
    <t>V000001056</t>
  </si>
  <si>
    <t>V000001057</t>
  </si>
  <si>
    <t>V000001058</t>
  </si>
  <si>
    <t>V000001059</t>
  </si>
  <si>
    <t>V000001060</t>
  </si>
  <si>
    <t>V000001061</t>
  </si>
  <si>
    <t>V000001062</t>
  </si>
  <si>
    <t>V000001063</t>
  </si>
  <si>
    <t>V000001064</t>
  </si>
  <si>
    <t>V000001065</t>
  </si>
  <si>
    <t>V000001066</t>
  </si>
  <si>
    <t>V000001067</t>
  </si>
  <si>
    <t>V000001068</t>
  </si>
  <si>
    <t>V000001069</t>
  </si>
  <si>
    <t>V000001070</t>
  </si>
  <si>
    <t>V000001071</t>
  </si>
  <si>
    <t>V000001072</t>
  </si>
  <si>
    <t>V000001073</t>
  </si>
  <si>
    <t>V000001074</t>
  </si>
  <si>
    <t>V000001075</t>
  </si>
  <si>
    <t>V000001076</t>
  </si>
  <si>
    <t>V000001077</t>
  </si>
  <si>
    <t>V000001078</t>
  </si>
  <si>
    <t>V000001079</t>
  </si>
  <si>
    <t>V000001080</t>
  </si>
  <si>
    <t>V000001081</t>
  </si>
  <si>
    <t>V000001082</t>
  </si>
  <si>
    <t>V000001083</t>
  </si>
  <si>
    <t>V000001084</t>
  </si>
  <si>
    <t>V000001085</t>
  </si>
  <si>
    <t>V000001086</t>
  </si>
  <si>
    <t>V000001087</t>
  </si>
  <si>
    <t>V000001088</t>
  </si>
  <si>
    <t>V000001089</t>
  </si>
  <si>
    <t>V000001090</t>
  </si>
  <si>
    <t>V000001091</t>
  </si>
  <si>
    <t>V000001092</t>
  </si>
  <si>
    <t>V000001093</t>
  </si>
  <si>
    <t>V000001094</t>
  </si>
  <si>
    <t>V000001095</t>
  </si>
  <si>
    <t>V000001096</t>
  </si>
  <si>
    <t>V000001097</t>
  </si>
  <si>
    <t>V000001098</t>
  </si>
  <si>
    <t>V000001099</t>
  </si>
  <si>
    <t>V000001100</t>
  </si>
  <si>
    <t>V000001101</t>
  </si>
  <si>
    <t>V000001102</t>
  </si>
  <si>
    <t>V000001103</t>
  </si>
  <si>
    <t>V000001104</t>
  </si>
  <si>
    <t>V000001105</t>
  </si>
  <si>
    <t>V000001106</t>
  </si>
  <si>
    <t>V000001107</t>
  </si>
  <si>
    <t>V000001108</t>
  </si>
  <si>
    <t>V000001109</t>
  </si>
  <si>
    <t>V000001110</t>
  </si>
  <si>
    <t>V000001111</t>
  </si>
  <si>
    <t>V000001112</t>
  </si>
  <si>
    <t>V000001113</t>
  </si>
  <si>
    <t>V000001114</t>
  </si>
  <si>
    <t>V000001115</t>
  </si>
  <si>
    <t>V000001116</t>
  </si>
  <si>
    <t>V000001117</t>
  </si>
  <si>
    <t>V000001118</t>
  </si>
  <si>
    <t>V000001119</t>
  </si>
  <si>
    <t>V000001120</t>
  </si>
  <si>
    <t>V000001121</t>
  </si>
  <si>
    <t>V000001122</t>
  </si>
  <si>
    <t>V000001123</t>
  </si>
  <si>
    <t>V000001124</t>
  </si>
  <si>
    <t>V000001125</t>
  </si>
  <si>
    <t>V000001126</t>
  </si>
  <si>
    <t>V000001127</t>
  </si>
  <si>
    <t>V000001128</t>
  </si>
  <si>
    <t>V000001129</t>
  </si>
  <si>
    <t>V000001130</t>
  </si>
  <si>
    <t>V000001131</t>
  </si>
  <si>
    <t>V000001132</t>
  </si>
  <si>
    <t>V000001133</t>
  </si>
  <si>
    <t>V000001134</t>
  </si>
  <si>
    <t>V000001135</t>
  </si>
  <si>
    <t>V000001136</t>
  </si>
  <si>
    <t>V000001137</t>
  </si>
  <si>
    <t>V000001138</t>
  </si>
  <si>
    <t>V000001139</t>
  </si>
  <si>
    <t>V000001140</t>
  </si>
  <si>
    <t>V000001141</t>
  </si>
  <si>
    <t>V000001142</t>
  </si>
  <si>
    <t>V000001143</t>
  </si>
  <si>
    <t>V000001144</t>
  </si>
  <si>
    <t>V000001145</t>
  </si>
  <si>
    <t>V000001146</t>
  </si>
  <si>
    <t>V000001147</t>
  </si>
  <si>
    <t>V000001148</t>
  </si>
  <si>
    <t>V000001149</t>
  </si>
  <si>
    <t>V000001150</t>
  </si>
  <si>
    <t>V000001151</t>
  </si>
  <si>
    <t>V000001152</t>
  </si>
  <si>
    <t>V000001153</t>
  </si>
  <si>
    <t>V000001154</t>
  </si>
  <si>
    <t>V000001155</t>
  </si>
  <si>
    <t>V000001156</t>
  </si>
  <si>
    <t>V000001157</t>
  </si>
  <si>
    <t>V000001158</t>
  </si>
  <si>
    <t>V000001159</t>
  </si>
  <si>
    <t>V000001160</t>
  </si>
  <si>
    <t>V000001161</t>
  </si>
  <si>
    <t>V000001162</t>
  </si>
  <si>
    <t>V000001163</t>
  </si>
  <si>
    <t>V000001164</t>
  </si>
  <si>
    <t>V000001165</t>
  </si>
  <si>
    <t>V000001166</t>
  </si>
  <si>
    <t>V000001167</t>
  </si>
  <si>
    <t>V000001168</t>
  </si>
  <si>
    <t>V000001169</t>
  </si>
  <si>
    <t>V000001170</t>
  </si>
  <si>
    <t>V000001171</t>
  </si>
  <si>
    <t>V000001172</t>
  </si>
  <si>
    <t>V000001173</t>
  </si>
  <si>
    <t>V000001174</t>
  </si>
  <si>
    <t>V000001175</t>
  </si>
  <si>
    <t>V000001176</t>
  </si>
  <si>
    <t>V000001177</t>
  </si>
  <si>
    <t>V000001178</t>
  </si>
  <si>
    <t>V000001179</t>
  </si>
  <si>
    <t>V000001180</t>
  </si>
  <si>
    <t>V000001181</t>
  </si>
  <si>
    <t>V000001182</t>
  </si>
  <si>
    <t>V000001183</t>
  </si>
  <si>
    <t>V000001184</t>
  </si>
  <si>
    <t>V000001185</t>
  </si>
  <si>
    <t>V000001186</t>
  </si>
  <si>
    <t>V000001187</t>
  </si>
  <si>
    <t>V000001188</t>
  </si>
  <si>
    <t>V000001189</t>
  </si>
  <si>
    <t>V000001190</t>
  </si>
  <si>
    <t>V000001191</t>
  </si>
  <si>
    <t>V000001192</t>
  </si>
  <si>
    <t>V000001193</t>
  </si>
  <si>
    <t>V000001194</t>
  </si>
  <si>
    <t>V000001195</t>
  </si>
  <si>
    <t>V000001196</t>
  </si>
  <si>
    <t>V000001197</t>
  </si>
  <si>
    <t>V000001198</t>
  </si>
  <si>
    <t>V000001199</t>
  </si>
  <si>
    <t>V000001200</t>
  </si>
  <si>
    <t>V000001201</t>
  </si>
  <si>
    <t>V000001202</t>
  </si>
  <si>
    <t>V000001203</t>
  </si>
  <si>
    <t>V000001204</t>
  </si>
  <si>
    <t>V000001205</t>
  </si>
  <si>
    <t>V000001206</t>
  </si>
  <si>
    <t>V000001207</t>
  </si>
  <si>
    <t>V000001208</t>
  </si>
  <si>
    <t>V000001209</t>
  </si>
  <si>
    <t>V000001210</t>
  </si>
  <si>
    <t>V000001211</t>
  </si>
  <si>
    <t>V000001212</t>
  </si>
  <si>
    <t>V000001213</t>
  </si>
  <si>
    <t>V000001214</t>
  </si>
  <si>
    <t>V000001215</t>
  </si>
  <si>
    <t>V000001216</t>
  </si>
  <si>
    <t>V000001217</t>
  </si>
  <si>
    <t>V000001218</t>
  </si>
  <si>
    <t>V000001219</t>
  </si>
  <si>
    <t>V000001220</t>
  </si>
  <si>
    <t>V000001221</t>
  </si>
  <si>
    <t>V000001222</t>
  </si>
  <si>
    <t>V000001223</t>
  </si>
  <si>
    <t>V000001224</t>
  </si>
  <si>
    <t>V000001225</t>
  </si>
  <si>
    <t>V000001226</t>
  </si>
  <si>
    <t>V000001227</t>
  </si>
  <si>
    <t>V000001228</t>
  </si>
  <si>
    <t>V000001229</t>
  </si>
  <si>
    <t>V000001230</t>
  </si>
  <si>
    <t>V000001231</t>
  </si>
  <si>
    <t>V000001232</t>
  </si>
  <si>
    <t>V000001233</t>
  </si>
  <si>
    <t>V000001234</t>
  </si>
  <si>
    <t>V000001235</t>
  </si>
  <si>
    <t>V000001236</t>
  </si>
  <si>
    <t>V000001237</t>
  </si>
  <si>
    <t>V000001238</t>
  </si>
  <si>
    <t>V000001239</t>
  </si>
  <si>
    <t>V000001240</t>
  </si>
  <si>
    <t>V000001241</t>
  </si>
  <si>
    <t>V000001242</t>
  </si>
  <si>
    <t>V000001243</t>
  </si>
  <si>
    <t>V000001244</t>
  </si>
  <si>
    <t>V000001245</t>
  </si>
  <si>
    <t>V000001246</t>
  </si>
  <si>
    <t>V000001247</t>
  </si>
  <si>
    <t>V000001248</t>
  </si>
  <si>
    <t>V000001249</t>
  </si>
  <si>
    <t>V000001250</t>
  </si>
  <si>
    <t>V000001251</t>
  </si>
  <si>
    <t>V000001252</t>
  </si>
  <si>
    <t>V000001253</t>
  </si>
  <si>
    <t>V000001254</t>
  </si>
  <si>
    <t>V000001255</t>
  </si>
  <si>
    <t>V000001256</t>
  </si>
  <si>
    <t>V000001257</t>
  </si>
  <si>
    <t>V000001258</t>
  </si>
  <si>
    <t>V000001259</t>
  </si>
  <si>
    <t>V000001260</t>
  </si>
  <si>
    <t>V000001261</t>
  </si>
  <si>
    <t>V000001262</t>
  </si>
  <si>
    <t>V000001263</t>
  </si>
  <si>
    <t>V000001264</t>
  </si>
  <si>
    <t>V000001265</t>
  </si>
  <si>
    <t>V000001266</t>
  </si>
  <si>
    <t>V000001267</t>
  </si>
  <si>
    <t>V000001268</t>
  </si>
  <si>
    <t>V000001269</t>
  </si>
  <si>
    <t>V000001270</t>
  </si>
  <si>
    <t>V000001271</t>
  </si>
  <si>
    <t>V000001272</t>
  </si>
  <si>
    <t>V000001273</t>
  </si>
  <si>
    <t>V000001274</t>
  </si>
  <si>
    <t>V000001275</t>
  </si>
  <si>
    <t>V000001276</t>
  </si>
  <si>
    <t>V000001277</t>
  </si>
  <si>
    <t>V000001278</t>
  </si>
  <si>
    <t>V000001279</t>
  </si>
  <si>
    <t>V000001280</t>
  </si>
  <si>
    <t>V000001281</t>
  </si>
  <si>
    <t>V000001282</t>
  </si>
  <si>
    <t>V000001283</t>
  </si>
  <si>
    <t>Quelle est votre taille actuelle ?</t>
  </si>
  <si>
    <t>Quel est votre poids actuel ?</t>
  </si>
  <si>
    <t>poidsq1</t>
  </si>
  <si>
    <t>Poids déclaré après DM à Q1 (en kg)</t>
  </si>
  <si>
    <t>poids_supprq1</t>
  </si>
  <si>
    <t>Poids corrigé par estimation (valeurs aberrantes supprimées) à Q1 (en kg)</t>
  </si>
  <si>
    <t>poids_remplq1</t>
  </si>
  <si>
    <t>Poids corrigé par estimation (valeurs aberrantes remplacées) à Q1</t>
  </si>
  <si>
    <t>repere_poidspredq1</t>
  </si>
  <si>
    <t>Indicatrice poids prédit par modéle linéaire mixte à Q1 (0 : non, poids d'origine ; 1 : oui)</t>
  </si>
  <si>
    <t>tailleq1</t>
  </si>
  <si>
    <t>taille_corq1</t>
  </si>
  <si>
    <t>Taille corrigée par estimation à Q1 (en cm)</t>
  </si>
  <si>
    <t>Taille déclarée après DM à Q1 (en cm)</t>
  </si>
  <si>
    <t>Indicatrice taille prédite par modèle linéaire mixte à Q1 (0 : non, taille d'origine ; 1 : oui)</t>
  </si>
  <si>
    <t>imc_supprq1</t>
  </si>
  <si>
    <t>IMC corrigé par estimation (valeurs aberrantes supprimées) à Q1 (en kg/m²)</t>
  </si>
  <si>
    <t>imc_remplq1</t>
  </si>
  <si>
    <t>IMC corrigé par estimation (valeurs aberrantes remplacées) à Q1 (en kg/m²)</t>
  </si>
  <si>
    <t>repere_imcpredq1</t>
  </si>
  <si>
    <t>Indicatrice poids ou taille prédits par modèle linéaire mixte à Q1 (0 : non, poids et taille d'origine ; 1 : oui)</t>
  </si>
  <si>
    <t>Numérique</t>
  </si>
  <si>
    <t>BEST12.</t>
  </si>
  <si>
    <t>À l'aide des dessins, indiquez votre morphologie : dessin 1 autour de 8 ans</t>
  </si>
  <si>
    <t>À l'aide des dessins, indiquez votre morphologie : dessin 2 autour de 8 ans</t>
  </si>
  <si>
    <t>À l'aide des dessins, indiquez votre morphologie : dessin 3 autour de 8 ans</t>
  </si>
  <si>
    <t>À l'aide des dessins, indiquez votre morphologie : dessin 4 autour de 8 ans</t>
  </si>
  <si>
    <t>À l'aide des dessins, indiquez votre morphologie : dessin 5 autour de 8 ans</t>
  </si>
  <si>
    <t>À l'aide des dessins, indiquez votre morphologie : dessin 6 autour de 8 ans</t>
  </si>
  <si>
    <t>À l'aide des dessins, indiquez votre morphologie : dessin 7 autour de 8 ans</t>
  </si>
  <si>
    <t>À l'aide des dessins, indiquez votre morphologie : dessin 8 autour de 8 ans</t>
  </si>
  <si>
    <t>À l'aide des dessins, indiquez votre morphologie : dessin 1 à la puberté</t>
  </si>
  <si>
    <t>À l'aide des dessins, indiquez votre morphologie : dessin 2 à la puberté</t>
  </si>
  <si>
    <t>À l'aide des dessins, indiquez votre morphologie : dessin 3 à la puberté</t>
  </si>
  <si>
    <t>À l'aide des dessins, indiquez votre morphologie : dessin 4 à la puberté</t>
  </si>
  <si>
    <t>À l'aide des dessins, indiquez votre morphologie : dessin 5 à la puberté</t>
  </si>
  <si>
    <t>À l'aide des dessins, indiquez votre morphologie : dessin 6 à la puberté</t>
  </si>
  <si>
    <t>À l'aide des dessins, indiquez votre morphologie : dessin 7 à la puberté</t>
  </si>
  <si>
    <t>À l'aide des dessins, indiquez votre morphologie : dessin 8 à la puberté</t>
  </si>
  <si>
    <t>À l'aide des dessins, indiquez votre morphologie : dessin 1 autour de 20 - 25 ans</t>
  </si>
  <si>
    <t>À l'aide des dessins, indiquez votre morphologie : dessin 2 autour de 20 - 25 ans</t>
  </si>
  <si>
    <t>À l'aide des dessins, indiquez votre morphologie : dessin 3 autour de 20 - 25 ans</t>
  </si>
  <si>
    <t>À l'aide des dessins, indiquez votre morphologie : dessin 4 autour de 20 - 25 ans</t>
  </si>
  <si>
    <t>À l'aide des dessins, indiquez votre morphologie : dessin 5 autour de 20 - 25 ans</t>
  </si>
  <si>
    <t>À l'aide des dessins, indiquez votre morphologie : dessin 6 autour de 20 - 25 ans</t>
  </si>
  <si>
    <t>À l'aide des dessins, indiquez votre morphologie : dessin 7 autour de 20 - 25 ans</t>
  </si>
  <si>
    <t>À l'aide des dessins, indiquez votre morphologie : dessin 8 autour de 20 - 25 ans</t>
  </si>
  <si>
    <t>À l'aide des dessins, indiquez votre morphologie : dessin 1 autour de 35 - 40 ans</t>
  </si>
  <si>
    <t>À l'aide des dessins, indiquez votre morphologie :  dessin 2 autour de 35 - 40 ans</t>
  </si>
  <si>
    <t>À l'aide des dessins, indiquez votre morphologie : dessin 3 autour de 35 - 40 ans</t>
  </si>
  <si>
    <t>À l'aide des dessins, indiquez votre morphologie : dessin 4 autour de 35 - 40 ans</t>
  </si>
  <si>
    <t>À l'aide des dessins, indiquez votre morphologie : dessin 5 autour de 35 - 40 ans</t>
  </si>
  <si>
    <t>À l'aide des dessins, indiquez votre morphologie : dessin 6 autour de 35 - 40 ans</t>
  </si>
  <si>
    <t>À l'aide des dessins, indiquez votre morphologie : dessin 7 autour de 35 - 40 ans</t>
  </si>
  <si>
    <t>À l'aide des dessins, indiquez votre morphologie : dessin 8 autour de 35 - 40 ans</t>
  </si>
  <si>
    <t>À l'aide des dessins, indiquez votre morphologie : dessin 1 actuellement</t>
  </si>
  <si>
    <t>À l'aide des dessins, indiquez votre morphologie : dessin 2 actuellement</t>
  </si>
  <si>
    <t>À l'aide des dessins, indiquez votre morphologie : dessin 3 actuellement</t>
  </si>
  <si>
    <t>À l'aide des dessins, indiquez votre morphologie : dessin 4 actuellement</t>
  </si>
  <si>
    <t>À l'aide des dessins, indiquez votre morphologie : dessin 5 actuellement</t>
  </si>
  <si>
    <t>À l'aide des dessins, indiquez votre morphologie : dessin 6 actuellement</t>
  </si>
  <si>
    <t>À l'aide des dessins, indiquez votre morphologie : dessin 7 actuellement</t>
  </si>
  <si>
    <t>À l'aide des dessins, indiquez votre morphologie : dessin 8 actuellement</t>
  </si>
  <si>
    <t>morpha</t>
  </si>
  <si>
    <t>Silhouette de Sörensen autour de 8 ans (numérotée de 1 à 8, du plus mince au plus gros)</t>
  </si>
  <si>
    <t>numérotée de 1 à 8, du plus mince au plus gros</t>
  </si>
  <si>
    <t>morphb</t>
  </si>
  <si>
    <t>morphc</t>
  </si>
  <si>
    <t>morphe</t>
  </si>
  <si>
    <t>Silhouette de Sörensen à la puberté (numérotée de 1 à 8, du plus mince au plus gros)</t>
  </si>
  <si>
    <t>Silhouette de Sörensen autour de 20-25 ans (numérotée de 1 à 8, du plus mince au plus gros)</t>
  </si>
  <si>
    <t>Silhouette de Sörensen à q1 (numérotée de 1 à 8, du plus mince au plus gros)</t>
  </si>
  <si>
    <t>Poids déclaré après DM à Q2 (en kg)</t>
  </si>
  <si>
    <t>poidsq2</t>
  </si>
  <si>
    <t>Poids corrigé par estimation (valeurs aberrantes supprimées) à Q2 (en kg)</t>
  </si>
  <si>
    <t>Poids corrigé par estimation (valeurs aberrantes remplacées) à Q2</t>
  </si>
  <si>
    <t>Indicatrice poids prédit par modéle linéaire mixte à Q2 (0 : non, poids d'origine ; 1 : oui)</t>
  </si>
  <si>
    <t>poids_supprq2</t>
  </si>
  <si>
    <t>poids_remplq2</t>
  </si>
  <si>
    <t>repere_poidspredq2</t>
  </si>
  <si>
    <t>imc_supprq2</t>
  </si>
  <si>
    <t>imc_remplq2</t>
  </si>
  <si>
    <t>?????</t>
  </si>
  <si>
    <t>Poids déclaré après DM à Q3 (en kg)</t>
  </si>
  <si>
    <t>Poids corrigé par estimation (valeurs aberrantes supprimées) à Q3 (en kg)</t>
  </si>
  <si>
    <t>Poids corrigé par estimation (valeurs aberrantes remplacées) à Q3</t>
  </si>
  <si>
    <t>Indicatrice poids prédit par modéle linéaire mixte à Q3 (0 : non, poids d'origine ; 1 : oui)</t>
  </si>
  <si>
    <t>poidsq3</t>
  </si>
  <si>
    <t>poids_supprq3</t>
  </si>
  <si>
    <t>poids_remplq3</t>
  </si>
  <si>
    <t>repere_poidspredq3</t>
  </si>
  <si>
    <t>imc_supprq3</t>
  </si>
  <si>
    <t>imc_remplq3</t>
  </si>
  <si>
    <t>IMC corrigé par estimation (valeurs aberrantes supprimées) à Q2 (en kg/m²)</t>
  </si>
  <si>
    <t>IMC corrigé par estimation (valeurs aberrantes remplacées) à Q2 (en kg/m²)</t>
  </si>
  <si>
    <t>IMC corrigé par estimation (valeurs aberrantes supprimées) à Q3 (en kg/m²)</t>
  </si>
  <si>
    <t>IMC corrigé par estimation (valeurs aberrantes remplacées) à Q3 (en kg/m²)</t>
  </si>
  <si>
    <t>Taille (m)</t>
  </si>
  <si>
    <t>Poids (kg)</t>
  </si>
  <si>
    <t>Taille déclarée après DM à Q4 (en cm)</t>
  </si>
  <si>
    <t>tailleq4</t>
  </si>
  <si>
    <t>taille_corq4</t>
  </si>
  <si>
    <t>Indicatrice taille prédite par modèle linéaire mixte à Q4 (0 : non, taille d'origine ; 1 : oui)</t>
  </si>
  <si>
    <t>Taille corrigée par estimation à Q4 (en cm)</t>
  </si>
  <si>
    <t>Poids déclaré après DM à Q4 (en kg)</t>
  </si>
  <si>
    <t>Poids corrigé par estimation (valeurs aberrantes supprimées) à Q4 (en kg)</t>
  </si>
  <si>
    <t>Poids corrigé par estimation (valeurs aberrantes remplacées) à Q4</t>
  </si>
  <si>
    <t>Indicatrice poids prédit par modéle linéaire mixte à Q4 (0 : non, poids d'origine ; 1 : oui)</t>
  </si>
  <si>
    <t>IMC corrigé par estimation (valeurs aberrantes supprimées) à Q4 (en kg/m²)</t>
  </si>
  <si>
    <t>IMC corrigé par estimation (valeurs aberrantes remplacées) à Q4 (en kg/m²)</t>
  </si>
  <si>
    <t>poidsq4</t>
  </si>
  <si>
    <t>poids_supprq4</t>
  </si>
  <si>
    <t>poids_remplq4</t>
  </si>
  <si>
    <t>repere_poidspredq4</t>
  </si>
  <si>
    <t>imc_supprq4</t>
  </si>
  <si>
    <t>imc_remplq4</t>
  </si>
  <si>
    <t>Taille assise (m)</t>
  </si>
  <si>
    <t>TAS</t>
  </si>
  <si>
    <t>TourTail</t>
  </si>
  <si>
    <t>TourHanc</t>
  </si>
  <si>
    <t>Tour de taille (cm)</t>
  </si>
  <si>
    <t>Tour de hanches (cm)</t>
  </si>
  <si>
    <t>Inclusion</t>
  </si>
  <si>
    <t>CW_serial</t>
  </si>
  <si>
    <t>CW_respid</t>
  </si>
  <si>
    <t>CW_firstdate</t>
  </si>
  <si>
    <t>CW_firsttime</t>
  </si>
  <si>
    <t>CW_finishdate</t>
  </si>
  <si>
    <t>CW_finishtime</t>
  </si>
  <si>
    <t>APIImport</t>
  </si>
  <si>
    <t>id_sexe</t>
  </si>
  <si>
    <t>anth_ttaille_c</t>
  </si>
  <si>
    <t>anth_ttaille_n</t>
  </si>
  <si>
    <t>anth_thanche</t>
  </si>
  <si>
    <t>anth_enceinte</t>
  </si>
  <si>
    <t>anth_pds_avt_gross</t>
  </si>
  <si>
    <t>anth_pds</t>
  </si>
  <si>
    <t>imc</t>
  </si>
  <si>
    <t>anth_pesee</t>
  </si>
  <si>
    <t>anth_evol_pds</t>
  </si>
  <si>
    <t>anth_perte_pds</t>
  </si>
  <si>
    <t>anth_m_perte_pds_1</t>
  </si>
  <si>
    <t>anth_m_perte_pds_2</t>
  </si>
  <si>
    <t>anth_m_perte_pds_3</t>
  </si>
  <si>
    <t>anth_m_perte_pds_4</t>
  </si>
  <si>
    <t>anth_m_perte_pds_5</t>
  </si>
  <si>
    <t>anth_m_perte_pds_6</t>
  </si>
  <si>
    <t>anth_m_perte_pds_7</t>
  </si>
  <si>
    <t>anth_m_perte_pds_8</t>
  </si>
  <si>
    <t>anth_morpho_f10</t>
  </si>
  <si>
    <t>anth_morpho_f20</t>
  </si>
  <si>
    <t>anth_morpho_f30</t>
  </si>
  <si>
    <t>anth_morpho_f40</t>
  </si>
  <si>
    <t>anth_morpho_f50</t>
  </si>
  <si>
    <t>anth_morpho_f60</t>
  </si>
  <si>
    <t>anth_morpho_f70</t>
  </si>
  <si>
    <t>anth_morpho_f80</t>
  </si>
  <si>
    <t>anth_morpho_f</t>
  </si>
  <si>
    <t>anth_morpho_h10</t>
  </si>
  <si>
    <t>anth_morpho_h20</t>
  </si>
  <si>
    <t>anth_morpho_h30</t>
  </si>
  <si>
    <t>anth_morpho_h40</t>
  </si>
  <si>
    <t>anth_morpho_h50</t>
  </si>
  <si>
    <t>anth_morpho_h60</t>
  </si>
  <si>
    <t>anth_morpho_h70</t>
  </si>
  <si>
    <t>anth_morpho_h80</t>
  </si>
  <si>
    <t>anth_morpho_h</t>
  </si>
  <si>
    <t>qstatus</t>
  </si>
  <si>
    <t>scout</t>
  </si>
  <si>
    <t>version</t>
  </si>
  <si>
    <t>test</t>
  </si>
  <si>
    <t>CW_last_page_displayed</t>
  </si>
  <si>
    <t>CW_finished</t>
  </si>
  <si>
    <t>CW_scroll_edit</t>
  </si>
  <si>
    <t>anth_coms</t>
  </si>
  <si>
    <t>valider</t>
  </si>
  <si>
    <t>Serial number</t>
  </si>
  <si>
    <t>Respondent ID</t>
  </si>
  <si>
    <t>Date when first page saved</t>
  </si>
  <si>
    <t>Time when first page saved</t>
  </si>
  <si>
    <t>Date when final page saved</t>
  </si>
  <si>
    <t>Time when final page saved</t>
  </si>
  <si>
    <t>[IMPORT] Données importées depuis l'API</t>
  </si>
  <si>
    <t>0 : False
1 : True</t>
  </si>
  <si>
    <t>1 : Homme
2 : Femme</t>
  </si>
  <si>
    <t>[IMPORT] Sexe</t>
  </si>
  <si>
    <t>Indiquez votre taille, en cm :</t>
  </si>
  <si>
    <t>Indiquez votre tour de taille, à l'endroit le plus creux au-dessus du nombril, en cm (à mesurer en fin d'expiration, sans rentrer le ventre) :</t>
  </si>
  <si>
    <t>Indiquez votre tour de taille, au niveau du nombril, en cm (à mesurer en fin d'expiration, sans rentrer le ventre) :</t>
  </si>
  <si>
    <t>Indiquez votre tour de hanches, en cm (à mesurer à l'endroit le plus large sous le nombril) :</t>
  </si>
  <si>
    <t>Êtes-vous actuellement enceinte ?</t>
  </si>
  <si>
    <t>Indiquez votre poids avant le début de votre grossesse, en kg :</t>
  </si>
  <si>
    <t>Indiquez votre poids actuel à jeun le matin, en kg :</t>
  </si>
  <si>
    <t>[RECODE] IMC</t>
  </si>
  <si>
    <t>Vous êtes-vous pesé(e) pour répondre à cette question ?</t>
  </si>
  <si>
    <t>Comment évolue votre poids depuis un an ?</t>
  </si>
  <si>
    <t>0 : Non 
1 : Oui
erase : Effacer ma réponse</t>
  </si>
  <si>
    <t>Depuis un an, avez-vous essayé de perdre du poids ?</t>
  </si>
  <si>
    <t>Comment avez-vous essayé de perdre du poids ?: En réduisant les quantités consommées</t>
  </si>
  <si>
    <t>Comment avez-vous essayé de perdre du poids ?: En suivant un régime particulier (hyper-protéiné, hypo-calorique…)</t>
  </si>
  <si>
    <t>Comment avez-vous essayé de perdre du poids ?: En surveillant vos habitudes alimentaires</t>
  </si>
  <si>
    <t>Comment avez-vous essayé de perdre du poids ?: En augmentant votre activité physique  et sportive (marche, montée d’escaliers…)</t>
  </si>
  <si>
    <t>Comment avez-vous essayé de perdre du poids ?: Avec des compléments alimentaires ou des plantes médicinales</t>
  </si>
  <si>
    <t>Comment avez-vous essayé de perdre du poids ?: Avec des médicaments</t>
  </si>
  <si>
    <t>Comment avez-vous essayé de perdre du poids ?: En ayant recours à la chirurgie</t>
  </si>
  <si>
    <t>Comment avez-vous essayé de perdre du poids ?: Autre (acupuncture, hypnose…)</t>
  </si>
  <si>
    <t>À l’aide des dessins ci-dessous, indiquez votre morphologie :@ITEXT$ @$ (À l’âge de 10 ans)</t>
  </si>
  <si>
    <t>"-1" : Perte de poids
0 : Poids stable (prise ou perte de moins de 1 kg)
1 : Prise de poids
erase : Effacer ma réponse</t>
  </si>
  <si>
    <t>À l’aide des dessins ci-dessous, indiquez votre morphologie :@ITEXT$ @$ (À l’âge de 20 ans)</t>
  </si>
  <si>
    <t>À l’aide des dessins ci-dessous, indiquez votre morphologie :@ITEXT$ @$ (À l’âge de 30 ans)</t>
  </si>
  <si>
    <t>À l’aide des dessins ci-dessous, indiquez votre morphologie :@ITEXT$ @$ (À l’âge de 40 ans)</t>
  </si>
  <si>
    <t>À l’aide des dessins ci-dessous, indiquez votre morphologie :@ITEXT$ @$ (À l’âge de 50 ans)</t>
  </si>
  <si>
    <t>À l’aide des dessins ci-dessous, indiquez votre morphologie :@ITEXT$ @$ (À l’âge de 60 ans)</t>
  </si>
  <si>
    <t>À l’aide des dessins ci-dessous, indiquez votre morphologie :@ITEXT$ @$ (À l’âge de 70 ans)</t>
  </si>
  <si>
    <t>À l’aide des dessins ci-dessous, indiquez votre morphologie :@ITEXT$ @$ (À l’âge de 80 ans)</t>
  </si>
  <si>
    <t>À l’aide des dessins ci-dessous, indiquez votre morphologie :@ITEXT$ @$ (Actuelle)</t>
  </si>
  <si>
    <t>Questionnaire statut</t>
  </si>
  <si>
    <t>Screenout</t>
  </si>
  <si>
    <t>Version du questionnaire</t>
  </si>
  <si>
    <t>TEST</t>
  </si>
  <si>
    <t>1 : Validation du questionnaire</t>
  </si>
  <si>
    <t>[40 ; 199] + valeurs aberrantes</t>
  </si>
  <si>
    <t>[42 ; 193] + valeurs aberrantes</t>
  </si>
  <si>
    <t>[42 ; 191] + valeurs aberrantes</t>
  </si>
  <si>
    <t>Non utilisable sans nettoyage</t>
  </si>
  <si>
    <t>Utilisable sans nettoyage</t>
  </si>
  <si>
    <t>Nettoyée</t>
  </si>
  <si>
    <t>Transformée</t>
  </si>
  <si>
    <t>Générée</t>
  </si>
  <si>
    <t>sstheme</t>
  </si>
  <si>
    <t>var_affiche</t>
  </si>
  <si>
    <t>tab_web</t>
  </si>
  <si>
    <t>desc_genere</t>
  </si>
  <si>
    <t>desc_nett</t>
  </si>
  <si>
    <t>var_nett</t>
  </si>
  <si>
    <t>var_genere</t>
  </si>
  <si>
    <t>chemin_web</t>
  </si>
  <si>
    <t>desc_web</t>
  </si>
  <si>
    <t>Poids</t>
  </si>
  <si>
    <t>Taille</t>
  </si>
  <si>
    <t>Silhouette morphologique</t>
  </si>
  <si>
    <t>Tour de taille</t>
  </si>
  <si>
    <t>Tour de hanches</t>
  </si>
  <si>
    <t>IMC</t>
  </si>
  <si>
    <t>Vieillissement</t>
  </si>
  <si>
    <t>Système</t>
  </si>
  <si>
    <t>Grossesse</t>
  </si>
  <si>
    <t>Date remplissage</t>
  </si>
  <si>
    <t>Commentaire</t>
  </si>
  <si>
    <t>Non</t>
  </si>
  <si>
    <t>Oui</t>
  </si>
  <si>
    <t xml:space="preserve">0 : Version 0 : Historique
1 : Version 1 : initiale
2 :  Version 2 :
3 : Version 3
</t>
  </si>
  <si>
    <t>1
2
3
99</t>
  </si>
  <si>
    <t xml:space="preserve">1 : Running
2 : Complete
3 : Screenout
4 : Quotafull
</t>
  </si>
  <si>
    <t>1 : coché</t>
  </si>
  <si>
    <t>1
2
3
4
5
6
7
8
9</t>
  </si>
  <si>
    <t>ttailleq4</t>
  </si>
  <si>
    <t>thancheq4</t>
  </si>
  <si>
    <t>Tour de taille/hanches</t>
  </si>
  <si>
    <t>rap_tail_hanchq4</t>
  </si>
  <si>
    <t>Tour de hanches à q4 (en cm)</t>
  </si>
  <si>
    <t>Tour de hanches à q7 (en cm)</t>
  </si>
  <si>
    <t>Tour de hanches à q8 (en cm)</t>
  </si>
  <si>
    <t>thancheq8</t>
  </si>
  <si>
    <t>thancheq7</t>
  </si>
  <si>
    <t>ttailleq8</t>
  </si>
  <si>
    <t>ttailleq7</t>
  </si>
  <si>
    <t>Tour de taille à q4 (en cm)</t>
  </si>
  <si>
    <t>Tour de taille à q7 (en cm)</t>
  </si>
  <si>
    <t>Tour de taille à q8 (en cm)</t>
  </si>
  <si>
    <t>Quel est votre tour de hanches (cm) ?</t>
  </si>
  <si>
    <t>Quel est votre tour de taille (cm) ?</t>
  </si>
  <si>
    <t>TourTaille</t>
  </si>
  <si>
    <t>TourHanche</t>
  </si>
  <si>
    <t>Votre tour de hanches (cm) ?</t>
  </si>
  <si>
    <t>Votre tour de taille (cm) ?</t>
  </si>
  <si>
    <t>Tour_taille</t>
  </si>
  <si>
    <t>Tour_hanche</t>
  </si>
  <si>
    <t>Tour de taille (sous les côtes) (cm)</t>
  </si>
  <si>
    <r>
      <t xml:space="preserve">Tour de taille au plus mince à </t>
    </r>
    <r>
      <rPr>
        <sz val="9"/>
        <rFont val="Calibri"/>
        <family val="2"/>
        <scheme val="minor"/>
      </rPr>
      <t>q9 (en cm)</t>
    </r>
  </si>
  <si>
    <r>
      <t xml:space="preserve">Tour de taille au plus mince à </t>
    </r>
    <r>
      <rPr>
        <sz val="9"/>
        <rFont val="Calibri"/>
        <family val="2"/>
        <scheme val="minor"/>
      </rPr>
      <t>q10 (en cm)</t>
    </r>
  </si>
  <si>
    <r>
      <t xml:space="preserve">Tour de taille au plus mince à </t>
    </r>
    <r>
      <rPr>
        <sz val="9"/>
        <rFont val="Calibri"/>
        <family val="2"/>
        <scheme val="minor"/>
      </rPr>
      <t>q11 (en cm)</t>
    </r>
  </si>
  <si>
    <t>Tour_taille1</t>
  </si>
  <si>
    <t>tminceq9</t>
  </si>
  <si>
    <t>tminceq10</t>
  </si>
  <si>
    <t>tminceq11</t>
  </si>
  <si>
    <t>Tour de taille (au niveau du nombril) (cm)</t>
  </si>
  <si>
    <t>Tour_taille2</t>
  </si>
  <si>
    <t>tnombrilq9</t>
  </si>
  <si>
    <r>
      <t xml:space="preserve">Tour de taille au niveau du nombril à </t>
    </r>
    <r>
      <rPr>
        <sz val="9"/>
        <rFont val="Calibri"/>
        <family val="2"/>
        <scheme val="minor"/>
      </rPr>
      <t>q9 (en cm)</t>
    </r>
  </si>
  <si>
    <t>tnombrilq10</t>
  </si>
  <si>
    <t>tnombrilq11</t>
  </si>
  <si>
    <t>Tour de taille (au plus mince) (cm)</t>
  </si>
  <si>
    <t>Tmince</t>
  </si>
  <si>
    <t>Tnombril</t>
  </si>
  <si>
    <t>thancheq9</t>
  </si>
  <si>
    <t>Thanches</t>
  </si>
  <si>
    <t>thancheq10</t>
  </si>
  <si>
    <t>Tour de hanches à q9 (en cm)</t>
  </si>
  <si>
    <t>Tour de hanches à q10 (en cm)</t>
  </si>
  <si>
    <t>Tour de hanches à q11 (en cm)</t>
  </si>
  <si>
    <t>Tour de hanches (au plus large) (cm)</t>
  </si>
  <si>
    <t>Tour de hanches (au plus large des hanches/fesses) (cm)</t>
  </si>
  <si>
    <t>Tour de hanches à l'endroit le plus large en-dessous du nombril (cm)</t>
  </si>
  <si>
    <r>
      <t xml:space="preserve">Tour de taille au niveau du nombril à </t>
    </r>
    <r>
      <rPr>
        <sz val="9"/>
        <rFont val="Calibri"/>
        <family val="2"/>
        <scheme val="minor"/>
      </rPr>
      <t>q10 (en cm)</t>
    </r>
  </si>
  <si>
    <r>
      <t xml:space="preserve">Tour de taille au niveau du nombril à </t>
    </r>
    <r>
      <rPr>
        <sz val="9"/>
        <rFont val="Calibri"/>
        <family val="2"/>
        <scheme val="minor"/>
      </rPr>
      <t>q11 (en cm)</t>
    </r>
  </si>
  <si>
    <t>thancheq11</t>
  </si>
  <si>
    <t>Rapport tour de taille / tour de hanches à q4</t>
  </si>
  <si>
    <t>Rapport tour de taille / tour de hanches à q7</t>
  </si>
  <si>
    <t>Rapport tour de taille / tour de hanches à q8</t>
  </si>
  <si>
    <t>rap_tail_hanchq7</t>
  </si>
  <si>
    <t>rap_tail_hanchq8</t>
  </si>
  <si>
    <t>Q13</t>
  </si>
  <si>
    <t>anth_thanch</t>
  </si>
  <si>
    <t>anth_tmince</t>
  </si>
  <si>
    <t>[40 ; 148]
+ valeurs aberrantes</t>
  </si>
  <si>
    <t>[50 ; 200]
+ valeurs aberrantes</t>
  </si>
  <si>
    <t>[40 ; 190]
+ valeurs aberrantes</t>
  </si>
  <si>
    <t>[0 ; 200]
+ valeurs aberrantes</t>
  </si>
  <si>
    <t>[0 ; 198]
+ valeurs aberrantes</t>
  </si>
  <si>
    <t>[46 . 150]</t>
  </si>
  <si>
    <t>[48 ; 150]</t>
  </si>
  <si>
    <t>[47 ; 150]</t>
  </si>
  <si>
    <t>[48 ; 155]</t>
  </si>
  <si>
    <t>[60 ; 182]</t>
  </si>
  <si>
    <t>[59 ; 167]</t>
  </si>
  <si>
    <t>[53 ; 165]</t>
  </si>
  <si>
    <t>[55 ; 197)</t>
  </si>
  <si>
    <t>[52 ; 166]</t>
  </si>
  <si>
    <t>[54 ; 192)</t>
  </si>
  <si>
    <t>[51  ; 160]</t>
  </si>
  <si>
    <t>[44 ; 151]</t>
  </si>
  <si>
    <t xml:space="preserve">[48 ; 170] </t>
  </si>
  <si>
    <t>[49 ; 166]</t>
  </si>
  <si>
    <t>[42 ; 181]</t>
  </si>
  <si>
    <t>[0.40 ; 1.37]</t>
  </si>
  <si>
    <t>[0.43 ; 1.72]</t>
  </si>
  <si>
    <t>[0.42 ; 1.70]</t>
  </si>
  <si>
    <t>V000000140</t>
  </si>
  <si>
    <t>V000000141</t>
  </si>
  <si>
    <t>V000001284</t>
  </si>
  <si>
    <t>V000001285</t>
  </si>
  <si>
    <t>V000001286</t>
  </si>
  <si>
    <t>V000001287</t>
  </si>
  <si>
    <t>V000001288</t>
  </si>
  <si>
    <t>V000001289</t>
  </si>
  <si>
    <t>V000001290</t>
  </si>
  <si>
    <t>V000001291</t>
  </si>
  <si>
    <t>V000001292</t>
  </si>
  <si>
    <t>V000001293</t>
  </si>
  <si>
    <t>V000001294</t>
  </si>
  <si>
    <t>V000001295</t>
  </si>
  <si>
    <t>V000001296</t>
  </si>
  <si>
    <t>V000001297</t>
  </si>
  <si>
    <t>V000001298</t>
  </si>
  <si>
    <t>V000001299</t>
  </si>
  <si>
    <t>V000001300</t>
  </si>
  <si>
    <t>V000001301</t>
  </si>
  <si>
    <t>V000001302</t>
  </si>
  <si>
    <t>repere_taillepredq1</t>
  </si>
  <si>
    <t>\\vms-e34n-dataid\DonneesID\E4N\Data_GIDE\_Parquest\G2_anthro</t>
  </si>
  <si>
    <t>generation</t>
  </si>
  <si>
    <t>annee</t>
  </si>
  <si>
    <t>vague</t>
  </si>
  <si>
    <t>titre</t>
  </si>
  <si>
    <t>Suivi 1</t>
  </si>
  <si>
    <t>Q3</t>
  </si>
  <si>
    <t>Suivi 2</t>
  </si>
  <si>
    <t>Suivi 4</t>
  </si>
  <si>
    <t>Questionnaire Q1</t>
  </si>
  <si>
    <t>Questionnaire Q2</t>
  </si>
  <si>
    <t>Questionnaire Q4</t>
  </si>
  <si>
    <t>Questionnaire Q3 -  Etat de santé</t>
  </si>
  <si>
    <t>Questionnaire Q3 - alimentaire</t>
  </si>
  <si>
    <t>Alimentaire 1</t>
  </si>
  <si>
    <t>description</t>
  </si>
  <si>
    <r>
      <t>Le </t>
    </r>
    <r>
      <rPr>
        <b/>
        <sz val="7"/>
        <color rgb="FF3D3D3D"/>
        <rFont val="Arial"/>
        <family val="2"/>
      </rPr>
      <t>questionnaire initial</t>
    </r>
    <r>
      <rPr>
        <sz val="7"/>
        <color rgb="FF3D3D3D"/>
        <rFont val="Arial"/>
        <family val="2"/>
      </rPr>
      <t> porte sur les antécédents médicaux et chirurgicaux, la prise de médicaments, le passé gynécologique, le statut tabagique, les caractéristiques staturo-pondérales, l’activité physique, les antécédents familiaux de cancer et le niveau socio-économique.</t>
    </r>
  </si>
  <si>
    <r>
      <t>Le </t>
    </r>
    <r>
      <rPr>
        <b/>
        <sz val="7"/>
        <color rgb="FF3D3D3D"/>
        <rFont val="Arial"/>
        <family val="2"/>
      </rPr>
      <t>deuxième questionnaire</t>
    </r>
    <r>
      <rPr>
        <sz val="7"/>
        <color rgb="FF3D3D3D"/>
        <rFont val="Arial"/>
        <family val="2"/>
      </rPr>
      <t> porte sur la prise de </t>
    </r>
    <r>
      <rPr>
        <b/>
        <sz val="7"/>
        <color rgb="FF3D3D3D"/>
        <rFont val="Arial"/>
        <family val="2"/>
      </rPr>
      <t>médicaments hormonaux</t>
    </r>
    <r>
      <rPr>
        <sz val="7"/>
        <color rgb="FF3D3D3D"/>
        <rFont val="Arial"/>
        <family val="2"/>
      </rPr>
      <t>. Les questions concernent le nom du médicament prescrit, sa durée d’utilisation et l’âge de la volontaire au début du traitement. Ce questionnaire était accompagné, pour faciliter l'effort de mémoire, d'un dépliant présentant les photographies en couleur des conditionnements de ces médicaments. Les données sur les traitements hormonaux sont mises à jour à chaque questionnaire.</t>
    </r>
  </si>
  <si>
    <r>
      <t>Le </t>
    </r>
    <r>
      <rPr>
        <b/>
        <sz val="7"/>
        <color rgb="FF3D3D3D"/>
        <rFont val="Arial"/>
        <family val="2"/>
      </rPr>
      <t>troisième questionnaire</t>
    </r>
    <r>
      <rPr>
        <sz val="7"/>
        <color rgb="FF3D3D3D"/>
        <rFont val="Arial"/>
        <family val="2"/>
      </rPr>
      <t> vise à recueillir des données sur </t>
    </r>
    <r>
      <rPr>
        <b/>
        <sz val="7"/>
        <color rgb="FF3D3D3D"/>
        <rFont val="Arial"/>
        <family val="2"/>
      </rPr>
      <t>l'alimentation de l'année</t>
    </r>
    <r>
      <rPr>
        <sz val="7"/>
        <color rgb="FF3D3D3D"/>
        <rFont val="Arial"/>
        <family val="2"/>
      </rPr>
      <t> précédant son remplissage. Il porte sur 265 aliments et boissons différents et est structuré par repas (jusqu’à 8 par jour). Les volontaires doivent estimer le mieux possible la fréquence et la quantité des aliments et boissons consommés dans l’année. Pour ce faire, le questionnaire était accompagné d’un cahier de photos présentant des tailles de portions dans l’assiette ou des volumes de boisson.</t>
    </r>
  </si>
  <si>
    <r>
      <t>Le </t>
    </r>
    <r>
      <rPr>
        <b/>
        <sz val="7"/>
        <color rgb="FF3D3D3D"/>
        <rFont val="Arial"/>
        <family val="2"/>
      </rPr>
      <t>quatrième questionnaire</t>
    </r>
    <r>
      <rPr>
        <sz val="7"/>
        <color rgb="FF3D3D3D"/>
        <rFont val="Arial"/>
        <family val="2"/>
      </rPr>
      <t> recueille diverses </t>
    </r>
    <r>
      <rPr>
        <b/>
        <sz val="7"/>
        <color rgb="FF3D3D3D"/>
        <rFont val="Arial"/>
        <family val="2"/>
      </rPr>
      <t>mesures anthropométriques</t>
    </r>
    <r>
      <rPr>
        <sz val="7"/>
        <color rgb="FF3D3D3D"/>
        <rFont val="Arial"/>
        <family val="2"/>
      </rPr>
      <t> (poids, taille, tours de taille et de hanches, évolution de la silhouette à différents âges…) et des données sur l’activité physique.</t>
    </r>
  </si>
  <si>
    <t>Le premier questionnaire, ou questionnaire d’inclusion, a été envoyé de novembre 2014 à janvier 2025 accompagné d'un kit de prélèvement salivaire.</t>
  </si>
  <si>
    <t>pdf_file</t>
  </si>
  <si>
    <t>Questionnaire Q3</t>
  </si>
  <si>
    <t>Suivi 5</t>
  </si>
  <si>
    <t>Suivi 6</t>
  </si>
  <si>
    <t>Suivi 7</t>
  </si>
  <si>
    <t>Suivi 8</t>
  </si>
  <si>
    <t>Suivi 9</t>
  </si>
  <si>
    <t>Suivi 10</t>
  </si>
  <si>
    <t>Suivi 11</t>
  </si>
  <si>
    <t>Suivi 12</t>
  </si>
  <si>
    <t>Suivi 13</t>
  </si>
  <si>
    <t>Questionnaire Q5</t>
  </si>
  <si>
    <t>Questionnaire Q6</t>
  </si>
  <si>
    <t>Questionnaire Q7</t>
  </si>
  <si>
    <t>Questionnaire Q8</t>
  </si>
  <si>
    <t>Questionnaire Q9</t>
  </si>
  <si>
    <t>Questionnaire Q10</t>
  </si>
  <si>
    <t>Questionnaire Q11</t>
  </si>
  <si>
    <t>Questionnaire Q12</t>
  </si>
  <si>
    <t>Questionnaire Q13</t>
  </si>
  <si>
    <t>url_pdf</t>
  </si>
  <si>
    <t>E3N_Q1.pdf</t>
  </si>
  <si>
    <t>E3N_Q2.pdf</t>
  </si>
  <si>
    <t>E3N_Q3_sante.pdf</t>
  </si>
  <si>
    <t>E3N_Q3_alimentaire.pdf</t>
  </si>
  <si>
    <t>E3N_Q4.pdf</t>
  </si>
  <si>
    <t>E3N_Q5.pdf</t>
  </si>
  <si>
    <t>E3N_Q6.pdf</t>
  </si>
  <si>
    <t>E3N_Q7.pdf</t>
  </si>
  <si>
    <t>E3N_Q8_sante.pdf</t>
  </si>
  <si>
    <t>E3N_Q9.pdf</t>
  </si>
  <si>
    <t>E3N_Q10.pdf</t>
  </si>
  <si>
    <t>E3N_Q11.pdf</t>
  </si>
  <si>
    <t>E3N_Q12.pdf</t>
  </si>
  <si>
    <t>E3N_Q13.pdf</t>
  </si>
  <si>
    <t>E4N-G1_Q1.pdf</t>
  </si>
  <si>
    <t>E4N-G1_Q2.pdf</t>
  </si>
  <si>
    <t>E4N-G1_Q3.pdf</t>
  </si>
  <si>
    <t>https://www.e3n-generations.fr/sites/default/files/inline-files/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</si>
</sst>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9"/>
      <color rgb="FF002060"/>
      <name val="Calibri"/>
      <family val="2"/>
      <scheme val="minor"/>
    </font>
    <font>
      <sz val="9"/>
      <color rgb="FF002060"/>
      <name val="Calibri"/>
      <family val="2"/>
      <scheme val="minor"/>
    </font>
    <font>
      <sz val="9"/>
      <color theme="1"/>
      <name val="Calibri"/>
      <family val="2"/>
      <scheme val="minor"/>
    </font>
    <font>
      <sz val="9"/>
      <color rgb="FFFF0000"/>
      <name val="Calibri"/>
      <family val="2"/>
      <scheme val="minor"/>
    </font>
    <font>
      <sz val="9"/>
      <name val="Calibri"/>
      <family val="2"/>
      <scheme val="minor"/>
    </font>
    <font>
      <sz val="8"/>
      <name val="Calibri"/>
      <family val="2"/>
      <scheme val="minor"/>
    </font>
    <font>
      <sz val="11"/>
      <color theme="1"/>
      <name val="Segoe UI"/>
      <family val="2"/>
    </font>
    <font>
      <b/>
      <sz val="11"/>
      <color theme="1"/>
      <name val="Segoe UI"/>
      <family val="2"/>
    </font>
    <font>
      <sz val="7"/>
      <color rgb="FF3D3D3D"/>
      <name val="Arial"/>
      <family val="2"/>
    </font>
    <font>
      <b/>
      <sz val="7"/>
      <color rgb="FF3D3D3D"/>
      <name val="Arial"/>
      <family val="2"/>
    </font>
  </fonts>
  <fills count="6">
    <fill>
      <patternFill patternType="none"/>
    </fill>
    <fill>
      <patternFill patternType="gray125"/>
    </fill>
    <fill>
      <patternFill patternType="solid">
        <fgColor theme="8" tint="0.79998168889431442"/>
        <bgColor theme="4"/>
      </patternFill>
    </fill>
    <fill>
      <patternFill patternType="solid">
        <fgColor theme="0" tint="-4.9989318521683403E-2"/>
        <bgColor indexed="64"/>
      </patternFill>
    </fill>
    <fill>
      <patternFill patternType="solid">
        <fgColor rgb="FFFFFF00"/>
        <bgColor indexed="64"/>
      </patternFill>
    </fill>
    <fill>
      <patternFill patternType="solid">
        <fgColor rgb="FFF5F5F5"/>
        <bgColor indexed="64"/>
      </patternFill>
    </fill>
  </fills>
  <borders count="4">
    <border>
      <left/>
      <right/>
      <top/>
      <bottom/>
      <diagonal/>
    </border>
    <border>
      <left/>
      <right/>
      <top style="thin">
        <color theme="4" tint="0.39997558519241921"/>
      </top>
      <bottom style="thin">
        <color theme="4" tint="0.39997558519241921"/>
      </bottom>
      <diagonal/>
    </border>
    <border>
      <left style="medium">
        <color rgb="FFE6E6E6"/>
      </left>
      <right style="medium">
        <color rgb="FFE6E6E6"/>
      </right>
      <top style="medium">
        <color rgb="FFE6E6E6"/>
      </top>
      <bottom style="medium">
        <color rgb="FFE6E6E6"/>
      </bottom>
      <diagonal/>
    </border>
    <border>
      <left style="medium">
        <color rgb="FFE6E6E6"/>
      </left>
      <right style="medium">
        <color rgb="FFE6E6E6"/>
      </right>
      <top/>
      <bottom/>
      <diagonal/>
    </border>
  </borders>
  <cellStyleXfs count="1">
    <xf numFmtId="0" fontId="0" fillId="0" borderId="0"/>
  </cellStyleXfs>
  <cellXfs count="27">
    <xf numFmtId="0" fontId="0" fillId="0" borderId="0" xfId="0"/>
    <xf numFmtId="0" fontId="1" fillId="2" borderId="1" xfId="0" applyFont="1" applyFill="1" applyBorder="1" applyAlignment="1">
      <alignment horizontal="center" vertical="top" wrapText="1"/>
    </xf>
    <xf numFmtId="0" fontId="1" fillId="2" borderId="0" xfId="0" applyFont="1" applyFill="1" applyBorder="1" applyAlignment="1">
      <alignment horizontal="center" vertical="top" wrapText="1"/>
    </xf>
    <xf numFmtId="0" fontId="3" fillId="0" borderId="0" xfId="0" applyFont="1" applyAlignment="1">
      <alignment vertical="top"/>
    </xf>
    <xf numFmtId="0" fontId="2" fillId="0" borderId="0" xfId="0" applyFont="1" applyAlignment="1">
      <alignment horizontal="center" vertical="top" wrapText="1"/>
    </xf>
    <xf numFmtId="0" fontId="3" fillId="3" borderId="0" xfId="0" applyFont="1" applyFill="1" applyAlignment="1">
      <alignment horizontal="center" vertical="top"/>
    </xf>
    <xf numFmtId="0" fontId="3" fillId="0" borderId="0" xfId="0" applyFont="1" applyAlignment="1">
      <alignment horizontal="center" vertical="top"/>
    </xf>
    <xf numFmtId="0" fontId="3" fillId="3" borderId="0" xfId="0" applyFont="1" applyFill="1" applyAlignment="1">
      <alignment vertical="top"/>
    </xf>
    <xf numFmtId="0" fontId="3" fillId="0" borderId="0" xfId="0" applyFont="1" applyAlignment="1">
      <alignment vertical="top" wrapText="1"/>
    </xf>
    <xf numFmtId="0" fontId="4" fillId="4" borderId="0" xfId="0" applyFont="1" applyFill="1" applyAlignment="1">
      <alignment vertical="top"/>
    </xf>
    <xf numFmtId="0" fontId="0" fillId="0" borderId="0" xfId="0" applyAlignment="1">
      <alignment horizontal="left" vertical="top" wrapText="1"/>
    </xf>
    <xf numFmtId="49" fontId="3" fillId="0" borderId="0" xfId="0" applyNumberFormat="1" applyFont="1" applyAlignment="1">
      <alignment horizontal="center" vertical="top"/>
    </xf>
    <xf numFmtId="0" fontId="3" fillId="3" borderId="0" xfId="0" applyFont="1" applyFill="1" applyAlignment="1">
      <alignment horizontal="center"/>
    </xf>
    <xf numFmtId="0" fontId="3" fillId="0" borderId="0" xfId="0" applyFont="1" applyAlignment="1">
      <alignment horizontal="left" vertical="top"/>
    </xf>
    <xf numFmtId="0" fontId="3" fillId="0" borderId="0" xfId="0" applyFont="1" applyAlignment="1">
      <alignment horizontal="left"/>
    </xf>
    <xf numFmtId="0" fontId="3" fillId="3" borderId="0" xfId="0" applyFont="1" applyFill="1" applyAlignment="1">
      <alignment horizontal="left"/>
    </xf>
    <xf numFmtId="0" fontId="0" fillId="0" borderId="0" xfId="0" applyAlignment="1">
      <alignment horizontal="left"/>
    </xf>
    <xf numFmtId="0" fontId="3" fillId="0" borderId="0" xfId="0" applyFont="1" applyAlignment="1">
      <alignment horizontal="center" vertical="center"/>
    </xf>
    <xf numFmtId="0" fontId="3" fillId="0" borderId="0" xfId="0" applyFont="1" applyFill="1" applyAlignment="1">
      <alignment horizontal="left"/>
    </xf>
    <xf numFmtId="0" fontId="3" fillId="0" borderId="0" xfId="0" applyFont="1" applyFill="1" applyAlignment="1">
      <alignment horizontal="left" wrapText="1"/>
    </xf>
    <xf numFmtId="0" fontId="1" fillId="2" borderId="0" xfId="0" applyFont="1" applyFill="1" applyBorder="1" applyAlignment="1">
      <alignment horizontal="left" vertical="top" wrapText="1"/>
    </xf>
    <xf numFmtId="0" fontId="3" fillId="0" borderId="0" xfId="0" applyFont="1" applyFill="1" applyAlignment="1">
      <alignment vertical="top"/>
    </xf>
    <xf numFmtId="0" fontId="8" fillId="5" borderId="2" xfId="0" applyFont="1" applyFill="1" applyBorder="1" applyAlignment="1">
      <alignment horizontal="center" vertical="center" wrapText="1"/>
    </xf>
    <xf numFmtId="0" fontId="7" fillId="0" borderId="2" xfId="0" applyFont="1" applyBorder="1" applyAlignment="1">
      <alignment vertical="center" wrapText="1"/>
    </xf>
    <xf numFmtId="0" fontId="9" fillId="0" borderId="0" xfId="0" applyFont="1"/>
    <xf numFmtId="0" fontId="7" fillId="0" borderId="0" xfId="0" applyFont="1" applyBorder="1" applyAlignment="1">
      <alignment vertical="center" wrapText="1"/>
    </xf>
    <xf numFmtId="0" fontId="7" fillId="0"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47378"/>
  <sheetViews>
    <sheetView tabSelected="1" zoomScale="120" zoomScaleNormal="120" workbookViewId="0">
      <pane ySplit="1" topLeftCell="A2" activePane="bottomLeft" state="frozen"/>
      <selection pane="bottomLeft" activeCell="E7" sqref="E7"/>
    </sheetView>
  </sheetViews>
  <sheetFormatPr baseColWidth="10" defaultColWidth="9.109375" defaultRowHeight="12" x14ac:dyDescent="0.3"/>
  <cols>
    <col min="1" max="1" width="11.33203125" style="3" bestFit="1" customWidth="1"/>
    <col min="2" max="2" width="11" style="6" bestFit="1" customWidth="1"/>
    <col min="3" max="3" width="15.44140625" style="6" bestFit="1" customWidth="1"/>
    <col min="4" max="4" width="17.33203125" style="11" bestFit="1" customWidth="1"/>
    <col min="5" max="5" width="14" style="3" bestFit="1" customWidth="1"/>
    <col min="6" max="6" width="21.88671875" style="13" bestFit="1" customWidth="1"/>
    <col min="7" max="7" width="110.5546875" style="3" bestFit="1" customWidth="1"/>
    <col min="8" max="8" width="70.6640625" style="3" bestFit="1" customWidth="1"/>
    <col min="9" max="9" width="41.5546875" style="3" bestFit="1" customWidth="1"/>
    <col min="10" max="10" width="73.88671875" style="3" bestFit="1" customWidth="1"/>
    <col min="11" max="11" width="86.109375" style="3" bestFit="1" customWidth="1"/>
    <col min="12" max="12" width="26.88671875" style="3" bestFit="1" customWidth="1"/>
    <col min="13" max="13" width="23.33203125" style="3" bestFit="1" customWidth="1"/>
    <col min="14" max="14" width="26" style="3" bestFit="1" customWidth="1"/>
    <col min="15" max="15" width="25.33203125" style="3" bestFit="1" customWidth="1"/>
    <col min="16" max="16" width="31.109375" style="3" bestFit="1" customWidth="1"/>
    <col min="17" max="17" width="24.88671875" style="3" bestFit="1" customWidth="1"/>
    <col min="18" max="18" width="22.44140625" style="3" bestFit="1" customWidth="1"/>
    <col min="19" max="19" width="60.109375" style="3" bestFit="1" customWidth="1"/>
    <col min="20" max="20" width="24.5546875" style="3" bestFit="1" customWidth="1"/>
    <col min="21" max="21" width="28.109375" style="3" bestFit="1" customWidth="1"/>
    <col min="22" max="22" width="26.33203125" style="3" bestFit="1" customWidth="1"/>
    <col min="23" max="23" width="19" style="3" bestFit="1" customWidth="1"/>
    <col min="24" max="24" width="20.88671875" style="6" bestFit="1" customWidth="1"/>
    <col min="25" max="25" width="30.33203125" style="3" bestFit="1" customWidth="1"/>
    <col min="26" max="26" width="42" style="3" bestFit="1" customWidth="1"/>
    <col min="27" max="16384" width="9.109375" style="3"/>
  </cols>
  <sheetData>
    <row r="1" spans="1:26" s="4" customFormat="1" x14ac:dyDescent="0.3">
      <c r="A1" s="2" t="s">
        <v>25</v>
      </c>
      <c r="B1" s="2" t="s">
        <v>1803</v>
      </c>
      <c r="C1" s="2" t="s">
        <v>26</v>
      </c>
      <c r="D1" s="2" t="s">
        <v>27</v>
      </c>
      <c r="E1" s="2" t="s">
        <v>28</v>
      </c>
      <c r="F1" s="20" t="s">
        <v>1671</v>
      </c>
      <c r="G1" s="2" t="s">
        <v>1679</v>
      </c>
      <c r="H1" s="2" t="s">
        <v>29</v>
      </c>
      <c r="I1" s="2" t="s">
        <v>1675</v>
      </c>
      <c r="J1" s="2" t="s">
        <v>1674</v>
      </c>
      <c r="K1" s="2" t="s">
        <v>30</v>
      </c>
      <c r="L1" s="2"/>
      <c r="M1" s="2" t="s">
        <v>31</v>
      </c>
      <c r="N1" s="2" t="s">
        <v>1676</v>
      </c>
      <c r="O1" s="2" t="s">
        <v>1677</v>
      </c>
      <c r="P1" s="2" t="s">
        <v>32</v>
      </c>
      <c r="Q1" s="2" t="s">
        <v>33</v>
      </c>
      <c r="R1" s="2" t="s">
        <v>1672</v>
      </c>
      <c r="S1" s="2" t="s">
        <v>1678</v>
      </c>
      <c r="T1" s="2" t="s">
        <v>1673</v>
      </c>
      <c r="U1" s="2" t="s">
        <v>35</v>
      </c>
      <c r="V1" s="2" t="s">
        <v>34</v>
      </c>
      <c r="W1" s="2" t="s">
        <v>36</v>
      </c>
      <c r="X1" s="2" t="s">
        <v>37</v>
      </c>
      <c r="Y1" s="2" t="s">
        <v>38</v>
      </c>
      <c r="Z1" s="2" t="s">
        <v>39</v>
      </c>
    </row>
    <row r="2" spans="1:26" x14ac:dyDescent="0.3">
      <c r="A2" s="3" t="s">
        <v>17</v>
      </c>
      <c r="B2" s="5" t="s">
        <v>13</v>
      </c>
      <c r="C2" s="5" t="s">
        <v>1</v>
      </c>
      <c r="D2" s="6">
        <v>4</v>
      </c>
      <c r="E2" s="7" t="s">
        <v>0</v>
      </c>
      <c r="F2" s="13" t="s">
        <v>1680</v>
      </c>
      <c r="H2" s="3" t="s">
        <v>40</v>
      </c>
      <c r="M2" s="3" t="s">
        <v>45</v>
      </c>
      <c r="Q2" s="7" t="s">
        <v>1666</v>
      </c>
      <c r="R2" s="7" t="s">
        <v>1692</v>
      </c>
      <c r="W2" s="7" t="s">
        <v>224</v>
      </c>
      <c r="X2" s="6" t="s">
        <v>222</v>
      </c>
      <c r="Y2" s="3" t="s">
        <v>1664</v>
      </c>
    </row>
    <row r="3" spans="1:26" x14ac:dyDescent="0.3">
      <c r="A3" s="3" t="s">
        <v>18</v>
      </c>
      <c r="B3" s="5" t="s">
        <v>13</v>
      </c>
      <c r="C3" s="5" t="s">
        <v>1</v>
      </c>
      <c r="D3" s="6">
        <v>4</v>
      </c>
      <c r="E3" s="7" t="s">
        <v>0</v>
      </c>
      <c r="F3" s="13" t="s">
        <v>1681</v>
      </c>
      <c r="H3" s="3" t="s">
        <v>41</v>
      </c>
      <c r="M3" s="3" t="s">
        <v>46</v>
      </c>
      <c r="Q3" s="7" t="s">
        <v>1666</v>
      </c>
      <c r="R3" s="7" t="s">
        <v>1692</v>
      </c>
      <c r="W3" s="7" t="s">
        <v>224</v>
      </c>
      <c r="X3" s="6" t="s">
        <v>222</v>
      </c>
      <c r="Y3" s="3" t="s">
        <v>225</v>
      </c>
    </row>
    <row r="4" spans="1:26" x14ac:dyDescent="0.3">
      <c r="A4" s="3" t="s">
        <v>19</v>
      </c>
      <c r="B4" s="5" t="s">
        <v>13</v>
      </c>
      <c r="C4" s="5" t="s">
        <v>1</v>
      </c>
      <c r="D4" s="6">
        <v>4</v>
      </c>
      <c r="E4" s="7" t="s">
        <v>0</v>
      </c>
      <c r="F4" s="13" t="s">
        <v>1683</v>
      </c>
      <c r="H4" s="3" t="s">
        <v>42</v>
      </c>
      <c r="M4" s="3" t="s">
        <v>47</v>
      </c>
      <c r="Q4" s="7" t="s">
        <v>1666</v>
      </c>
      <c r="R4" s="7" t="s">
        <v>1692</v>
      </c>
      <c r="W4" s="7" t="s">
        <v>224</v>
      </c>
      <c r="X4" s="6" t="s">
        <v>222</v>
      </c>
      <c r="Y4" s="8" t="s">
        <v>1663</v>
      </c>
    </row>
    <row r="5" spans="1:26" ht="24" x14ac:dyDescent="0.3">
      <c r="A5" s="3" t="s">
        <v>20</v>
      </c>
      <c r="B5" s="5" t="s">
        <v>13</v>
      </c>
      <c r="C5" s="5" t="s">
        <v>1</v>
      </c>
      <c r="D5" s="6">
        <v>4</v>
      </c>
      <c r="E5" s="7" t="s">
        <v>0</v>
      </c>
      <c r="F5" s="13" t="s">
        <v>1686</v>
      </c>
      <c r="H5" s="3" t="s">
        <v>43</v>
      </c>
      <c r="M5" s="3" t="s">
        <v>48</v>
      </c>
      <c r="Q5" s="7" t="s">
        <v>1666</v>
      </c>
      <c r="R5" s="7" t="s">
        <v>1692</v>
      </c>
      <c r="W5" s="7" t="s">
        <v>224</v>
      </c>
      <c r="X5" s="6" t="s">
        <v>223</v>
      </c>
      <c r="Y5" s="8" t="s">
        <v>221</v>
      </c>
    </row>
    <row r="6" spans="1:26" ht="24" x14ac:dyDescent="0.3">
      <c r="A6" s="3" t="s">
        <v>21</v>
      </c>
      <c r="B6" s="5" t="s">
        <v>13</v>
      </c>
      <c r="C6" s="5" t="s">
        <v>1</v>
      </c>
      <c r="D6" s="6">
        <v>4</v>
      </c>
      <c r="E6" s="7" t="s">
        <v>0</v>
      </c>
      <c r="F6" s="13" t="s">
        <v>1686</v>
      </c>
      <c r="H6" s="3" t="s">
        <v>44</v>
      </c>
      <c r="M6" s="3" t="s">
        <v>49</v>
      </c>
      <c r="Q6" s="7" t="s">
        <v>1666</v>
      </c>
      <c r="R6" s="7" t="s">
        <v>1692</v>
      </c>
      <c r="W6" s="7" t="s">
        <v>224</v>
      </c>
      <c r="X6" s="6" t="s">
        <v>223</v>
      </c>
      <c r="Y6" s="8" t="s">
        <v>221</v>
      </c>
    </row>
    <row r="7" spans="1:26" ht="24" x14ac:dyDescent="0.3">
      <c r="A7" s="3" t="s">
        <v>22</v>
      </c>
      <c r="B7" s="5" t="s">
        <v>13</v>
      </c>
      <c r="C7" s="5" t="s">
        <v>1</v>
      </c>
      <c r="D7" s="6">
        <v>5</v>
      </c>
      <c r="E7" s="7" t="s">
        <v>0</v>
      </c>
      <c r="F7" s="13" t="s">
        <v>1682</v>
      </c>
      <c r="H7" s="3" t="s">
        <v>50</v>
      </c>
      <c r="M7" s="3" t="s">
        <v>137</v>
      </c>
      <c r="Q7" s="7" t="s">
        <v>1666</v>
      </c>
      <c r="R7" s="7" t="s">
        <v>1692</v>
      </c>
      <c r="W7" s="7" t="s">
        <v>224</v>
      </c>
      <c r="X7" s="6" t="s">
        <v>223</v>
      </c>
      <c r="Y7" s="8" t="s">
        <v>221</v>
      </c>
    </row>
    <row r="8" spans="1:26" ht="24" x14ac:dyDescent="0.3">
      <c r="A8" s="3" t="s">
        <v>23</v>
      </c>
      <c r="B8" s="5" t="s">
        <v>13</v>
      </c>
      <c r="C8" s="5" t="s">
        <v>1</v>
      </c>
      <c r="D8" s="6">
        <v>5</v>
      </c>
      <c r="E8" s="7" t="s">
        <v>0</v>
      </c>
      <c r="F8" s="13" t="s">
        <v>1682</v>
      </c>
      <c r="H8" s="3" t="s">
        <v>51</v>
      </c>
      <c r="M8" s="3" t="s">
        <v>140</v>
      </c>
      <c r="Q8" s="7" t="s">
        <v>1666</v>
      </c>
      <c r="R8" s="7" t="s">
        <v>1692</v>
      </c>
      <c r="W8" s="7" t="s">
        <v>224</v>
      </c>
      <c r="X8" s="6" t="s">
        <v>223</v>
      </c>
      <c r="Y8" s="8" t="s">
        <v>221</v>
      </c>
    </row>
    <row r="9" spans="1:26" ht="24" x14ac:dyDescent="0.3">
      <c r="A9" s="3" t="s">
        <v>24</v>
      </c>
      <c r="B9" s="5" t="s">
        <v>13</v>
      </c>
      <c r="C9" s="5" t="s">
        <v>1</v>
      </c>
      <c r="D9" s="6">
        <v>5</v>
      </c>
      <c r="E9" s="7" t="s">
        <v>0</v>
      </c>
      <c r="F9" s="13" t="s">
        <v>1682</v>
      </c>
      <c r="H9" s="3" t="s">
        <v>52</v>
      </c>
      <c r="M9" s="3" t="s">
        <v>141</v>
      </c>
      <c r="Q9" s="7" t="s">
        <v>1666</v>
      </c>
      <c r="R9" s="7" t="s">
        <v>1692</v>
      </c>
      <c r="W9" s="7" t="s">
        <v>224</v>
      </c>
      <c r="X9" s="6" t="s">
        <v>223</v>
      </c>
      <c r="Y9" s="8" t="s">
        <v>221</v>
      </c>
    </row>
    <row r="10" spans="1:26" ht="24" x14ac:dyDescent="0.3">
      <c r="A10" s="3" t="s">
        <v>95</v>
      </c>
      <c r="B10" s="5" t="s">
        <v>13</v>
      </c>
      <c r="C10" s="5" t="s">
        <v>1</v>
      </c>
      <c r="D10" s="6">
        <v>5</v>
      </c>
      <c r="E10" s="7" t="s">
        <v>0</v>
      </c>
      <c r="F10" s="13" t="s">
        <v>1682</v>
      </c>
      <c r="H10" s="3" t="s">
        <v>53</v>
      </c>
      <c r="M10" s="3" t="s">
        <v>142</v>
      </c>
      <c r="Q10" s="7" t="s">
        <v>1666</v>
      </c>
      <c r="R10" s="7" t="s">
        <v>1692</v>
      </c>
      <c r="W10" s="7" t="s">
        <v>224</v>
      </c>
      <c r="X10" s="6" t="s">
        <v>223</v>
      </c>
      <c r="Y10" s="8" t="s">
        <v>221</v>
      </c>
    </row>
    <row r="11" spans="1:26" ht="24" x14ac:dyDescent="0.3">
      <c r="A11" s="3" t="s">
        <v>96</v>
      </c>
      <c r="B11" s="5" t="s">
        <v>13</v>
      </c>
      <c r="C11" s="5" t="s">
        <v>1</v>
      </c>
      <c r="D11" s="6">
        <v>5</v>
      </c>
      <c r="E11" s="7" t="s">
        <v>0</v>
      </c>
      <c r="F11" s="13" t="s">
        <v>1682</v>
      </c>
      <c r="H11" s="3" t="s">
        <v>54</v>
      </c>
      <c r="M11" s="3" t="s">
        <v>143</v>
      </c>
      <c r="Q11" s="7" t="s">
        <v>1666</v>
      </c>
      <c r="R11" s="7" t="s">
        <v>1692</v>
      </c>
      <c r="W11" s="7" t="s">
        <v>224</v>
      </c>
      <c r="X11" s="6" t="s">
        <v>223</v>
      </c>
      <c r="Y11" s="8" t="s">
        <v>221</v>
      </c>
    </row>
    <row r="12" spans="1:26" ht="24" x14ac:dyDescent="0.3">
      <c r="A12" s="3" t="s">
        <v>97</v>
      </c>
      <c r="B12" s="5" t="s">
        <v>13</v>
      </c>
      <c r="C12" s="5" t="s">
        <v>1</v>
      </c>
      <c r="D12" s="6">
        <v>5</v>
      </c>
      <c r="E12" s="7" t="s">
        <v>0</v>
      </c>
      <c r="F12" s="13" t="s">
        <v>1682</v>
      </c>
      <c r="H12" s="3" t="s">
        <v>55</v>
      </c>
      <c r="M12" s="3" t="s">
        <v>144</v>
      </c>
      <c r="Q12" s="7" t="s">
        <v>1666</v>
      </c>
      <c r="R12" s="7" t="s">
        <v>1692</v>
      </c>
      <c r="W12" s="7" t="s">
        <v>224</v>
      </c>
      <c r="X12" s="6" t="s">
        <v>223</v>
      </c>
      <c r="Y12" s="8" t="s">
        <v>221</v>
      </c>
    </row>
    <row r="13" spans="1:26" ht="24" x14ac:dyDescent="0.3">
      <c r="A13" s="3" t="s">
        <v>98</v>
      </c>
      <c r="B13" s="5" t="s">
        <v>13</v>
      </c>
      <c r="C13" s="5" t="s">
        <v>1</v>
      </c>
      <c r="D13" s="6">
        <v>5</v>
      </c>
      <c r="E13" s="7" t="s">
        <v>0</v>
      </c>
      <c r="F13" s="13" t="s">
        <v>1682</v>
      </c>
      <c r="H13" s="3" t="s">
        <v>56</v>
      </c>
      <c r="M13" s="3" t="s">
        <v>145</v>
      </c>
      <c r="Q13" s="7" t="s">
        <v>1666</v>
      </c>
      <c r="R13" s="7" t="s">
        <v>1692</v>
      </c>
      <c r="W13" s="7" t="s">
        <v>224</v>
      </c>
      <c r="X13" s="6" t="s">
        <v>223</v>
      </c>
      <c r="Y13" s="8" t="s">
        <v>221</v>
      </c>
    </row>
    <row r="14" spans="1:26" ht="24" x14ac:dyDescent="0.3">
      <c r="A14" s="3" t="s">
        <v>99</v>
      </c>
      <c r="B14" s="5" t="s">
        <v>13</v>
      </c>
      <c r="C14" s="5" t="s">
        <v>1</v>
      </c>
      <c r="D14" s="6">
        <v>5</v>
      </c>
      <c r="E14" s="7" t="s">
        <v>0</v>
      </c>
      <c r="F14" s="13" t="s">
        <v>1682</v>
      </c>
      <c r="H14" s="3" t="s">
        <v>57</v>
      </c>
      <c r="M14" s="3" t="s">
        <v>146</v>
      </c>
      <c r="Q14" s="7" t="s">
        <v>1666</v>
      </c>
      <c r="R14" s="7" t="s">
        <v>1692</v>
      </c>
      <c r="W14" s="7" t="s">
        <v>224</v>
      </c>
      <c r="X14" s="6" t="s">
        <v>223</v>
      </c>
      <c r="Y14" s="8" t="s">
        <v>221</v>
      </c>
    </row>
    <row r="15" spans="1:26" ht="24" x14ac:dyDescent="0.3">
      <c r="A15" s="3" t="s">
        <v>100</v>
      </c>
      <c r="B15" s="5" t="s">
        <v>13</v>
      </c>
      <c r="C15" s="5" t="s">
        <v>1</v>
      </c>
      <c r="D15" s="6">
        <v>5</v>
      </c>
      <c r="E15" s="7" t="s">
        <v>0</v>
      </c>
      <c r="F15" s="13" t="s">
        <v>1682</v>
      </c>
      <c r="H15" s="3" t="s">
        <v>58</v>
      </c>
      <c r="M15" s="3" t="s">
        <v>147</v>
      </c>
      <c r="Q15" s="7" t="s">
        <v>1666</v>
      </c>
      <c r="R15" s="7" t="s">
        <v>1692</v>
      </c>
      <c r="W15" s="7" t="s">
        <v>224</v>
      </c>
      <c r="X15" s="6" t="s">
        <v>223</v>
      </c>
      <c r="Y15" s="8" t="s">
        <v>221</v>
      </c>
    </row>
    <row r="16" spans="1:26" ht="24" x14ac:dyDescent="0.3">
      <c r="A16" s="3" t="s">
        <v>101</v>
      </c>
      <c r="B16" s="5" t="s">
        <v>13</v>
      </c>
      <c r="C16" s="5" t="s">
        <v>1</v>
      </c>
      <c r="D16" s="6">
        <v>5</v>
      </c>
      <c r="E16" s="7" t="s">
        <v>0</v>
      </c>
      <c r="F16" s="13" t="s">
        <v>1682</v>
      </c>
      <c r="H16" s="3" t="s">
        <v>59</v>
      </c>
      <c r="M16" s="3" t="s">
        <v>148</v>
      </c>
      <c r="Q16" s="7" t="s">
        <v>1666</v>
      </c>
      <c r="R16" s="7" t="s">
        <v>1692</v>
      </c>
      <c r="W16" s="7" t="s">
        <v>224</v>
      </c>
      <c r="X16" s="6" t="s">
        <v>223</v>
      </c>
      <c r="Y16" s="8" t="s">
        <v>221</v>
      </c>
    </row>
    <row r="17" spans="1:25" ht="24" x14ac:dyDescent="0.3">
      <c r="A17" s="3" t="s">
        <v>102</v>
      </c>
      <c r="B17" s="5" t="s">
        <v>13</v>
      </c>
      <c r="C17" s="5" t="s">
        <v>1</v>
      </c>
      <c r="D17" s="6">
        <v>5</v>
      </c>
      <c r="E17" s="7" t="s">
        <v>0</v>
      </c>
      <c r="F17" s="13" t="s">
        <v>1682</v>
      </c>
      <c r="H17" s="3" t="s">
        <v>60</v>
      </c>
      <c r="M17" s="3" t="s">
        <v>138</v>
      </c>
      <c r="Q17" s="7" t="s">
        <v>1666</v>
      </c>
      <c r="R17" s="7" t="s">
        <v>1692</v>
      </c>
      <c r="W17" s="7" t="s">
        <v>224</v>
      </c>
      <c r="X17" s="6" t="s">
        <v>223</v>
      </c>
      <c r="Y17" s="8" t="s">
        <v>221</v>
      </c>
    </row>
    <row r="18" spans="1:25" ht="24" x14ac:dyDescent="0.3">
      <c r="A18" s="3" t="s">
        <v>103</v>
      </c>
      <c r="B18" s="5" t="s">
        <v>13</v>
      </c>
      <c r="C18" s="5" t="s">
        <v>1</v>
      </c>
      <c r="D18" s="6">
        <v>5</v>
      </c>
      <c r="E18" s="7" t="s">
        <v>0</v>
      </c>
      <c r="F18" s="13" t="s">
        <v>1682</v>
      </c>
      <c r="H18" s="3" t="s">
        <v>61</v>
      </c>
      <c r="M18" s="3" t="s">
        <v>149</v>
      </c>
      <c r="Q18" s="7" t="s">
        <v>1666</v>
      </c>
      <c r="R18" s="7" t="s">
        <v>1692</v>
      </c>
      <c r="W18" s="7" t="s">
        <v>224</v>
      </c>
      <c r="X18" s="6" t="s">
        <v>223</v>
      </c>
      <c r="Y18" s="8" t="s">
        <v>221</v>
      </c>
    </row>
    <row r="19" spans="1:25" ht="24" x14ac:dyDescent="0.3">
      <c r="A19" s="3" t="s">
        <v>104</v>
      </c>
      <c r="B19" s="5" t="s">
        <v>13</v>
      </c>
      <c r="C19" s="5" t="s">
        <v>1</v>
      </c>
      <c r="D19" s="6">
        <v>5</v>
      </c>
      <c r="E19" s="7" t="s">
        <v>0</v>
      </c>
      <c r="F19" s="13" t="s">
        <v>1682</v>
      </c>
      <c r="H19" s="3" t="s">
        <v>62</v>
      </c>
      <c r="M19" s="3" t="s">
        <v>150</v>
      </c>
      <c r="Q19" s="7" t="s">
        <v>1666</v>
      </c>
      <c r="R19" s="7" t="s">
        <v>1692</v>
      </c>
      <c r="W19" s="7" t="s">
        <v>224</v>
      </c>
      <c r="X19" s="6" t="s">
        <v>223</v>
      </c>
      <c r="Y19" s="8" t="s">
        <v>221</v>
      </c>
    </row>
    <row r="20" spans="1:25" ht="24" x14ac:dyDescent="0.3">
      <c r="A20" s="3" t="s">
        <v>105</v>
      </c>
      <c r="B20" s="5" t="s">
        <v>13</v>
      </c>
      <c r="C20" s="5" t="s">
        <v>1</v>
      </c>
      <c r="D20" s="6">
        <v>5</v>
      </c>
      <c r="E20" s="7" t="s">
        <v>0</v>
      </c>
      <c r="F20" s="13" t="s">
        <v>1682</v>
      </c>
      <c r="H20" s="3" t="s">
        <v>63</v>
      </c>
      <c r="M20" s="3" t="s">
        <v>151</v>
      </c>
      <c r="Q20" s="7" t="s">
        <v>1666</v>
      </c>
      <c r="R20" s="7" t="s">
        <v>1692</v>
      </c>
      <c r="W20" s="7" t="s">
        <v>224</v>
      </c>
      <c r="X20" s="6" t="s">
        <v>223</v>
      </c>
      <c r="Y20" s="8" t="s">
        <v>221</v>
      </c>
    </row>
    <row r="21" spans="1:25" ht="24" x14ac:dyDescent="0.3">
      <c r="A21" s="3" t="s">
        <v>106</v>
      </c>
      <c r="B21" s="5" t="s">
        <v>13</v>
      </c>
      <c r="C21" s="5" t="s">
        <v>1</v>
      </c>
      <c r="D21" s="6">
        <v>5</v>
      </c>
      <c r="E21" s="7" t="s">
        <v>0</v>
      </c>
      <c r="F21" s="13" t="s">
        <v>1682</v>
      </c>
      <c r="H21" s="3" t="s">
        <v>64</v>
      </c>
      <c r="M21" s="3" t="s">
        <v>152</v>
      </c>
      <c r="Q21" s="7" t="s">
        <v>1666</v>
      </c>
      <c r="R21" s="7" t="s">
        <v>1692</v>
      </c>
      <c r="W21" s="7" t="s">
        <v>224</v>
      </c>
      <c r="X21" s="6" t="s">
        <v>223</v>
      </c>
      <c r="Y21" s="8" t="s">
        <v>221</v>
      </c>
    </row>
    <row r="22" spans="1:25" ht="24" x14ac:dyDescent="0.3">
      <c r="A22" s="3" t="s">
        <v>107</v>
      </c>
      <c r="B22" s="5" t="s">
        <v>13</v>
      </c>
      <c r="C22" s="5" t="s">
        <v>1</v>
      </c>
      <c r="D22" s="6">
        <v>5</v>
      </c>
      <c r="E22" s="7" t="s">
        <v>0</v>
      </c>
      <c r="F22" s="13" t="s">
        <v>1682</v>
      </c>
      <c r="H22" s="3" t="s">
        <v>65</v>
      </c>
      <c r="M22" s="3" t="s">
        <v>153</v>
      </c>
      <c r="Q22" s="7" t="s">
        <v>1666</v>
      </c>
      <c r="R22" s="7" t="s">
        <v>1692</v>
      </c>
      <c r="W22" s="7" t="s">
        <v>224</v>
      </c>
      <c r="X22" s="6" t="s">
        <v>223</v>
      </c>
      <c r="Y22" s="8" t="s">
        <v>221</v>
      </c>
    </row>
    <row r="23" spans="1:25" ht="24" x14ac:dyDescent="0.3">
      <c r="A23" s="3" t="s">
        <v>108</v>
      </c>
      <c r="B23" s="5" t="s">
        <v>13</v>
      </c>
      <c r="C23" s="5" t="s">
        <v>1</v>
      </c>
      <c r="D23" s="6">
        <v>5</v>
      </c>
      <c r="E23" s="7" t="s">
        <v>0</v>
      </c>
      <c r="F23" s="13" t="s">
        <v>1682</v>
      </c>
      <c r="H23" s="3" t="s">
        <v>66</v>
      </c>
      <c r="M23" s="3" t="s">
        <v>154</v>
      </c>
      <c r="Q23" s="7" t="s">
        <v>1666</v>
      </c>
      <c r="R23" s="7" t="s">
        <v>1692</v>
      </c>
      <c r="W23" s="7" t="s">
        <v>224</v>
      </c>
      <c r="X23" s="6" t="s">
        <v>223</v>
      </c>
      <c r="Y23" s="8" t="s">
        <v>221</v>
      </c>
    </row>
    <row r="24" spans="1:25" ht="24" x14ac:dyDescent="0.3">
      <c r="A24" s="3" t="s">
        <v>109</v>
      </c>
      <c r="B24" s="5" t="s">
        <v>13</v>
      </c>
      <c r="C24" s="5" t="s">
        <v>1</v>
      </c>
      <c r="D24" s="6">
        <v>5</v>
      </c>
      <c r="E24" s="7" t="s">
        <v>0</v>
      </c>
      <c r="F24" s="13" t="s">
        <v>1682</v>
      </c>
      <c r="H24" s="3" t="s">
        <v>67</v>
      </c>
      <c r="M24" s="3" t="s">
        <v>155</v>
      </c>
      <c r="Q24" s="7" t="s">
        <v>1666</v>
      </c>
      <c r="R24" s="7" t="s">
        <v>1692</v>
      </c>
      <c r="W24" s="7" t="s">
        <v>224</v>
      </c>
      <c r="X24" s="6" t="s">
        <v>223</v>
      </c>
      <c r="Y24" s="8" t="s">
        <v>221</v>
      </c>
    </row>
    <row r="25" spans="1:25" ht="24" x14ac:dyDescent="0.3">
      <c r="A25" s="3" t="s">
        <v>110</v>
      </c>
      <c r="B25" s="5" t="s">
        <v>13</v>
      </c>
      <c r="C25" s="5" t="s">
        <v>1</v>
      </c>
      <c r="D25" s="6">
        <v>5</v>
      </c>
      <c r="E25" s="7" t="s">
        <v>0</v>
      </c>
      <c r="F25" s="13" t="s">
        <v>1682</v>
      </c>
      <c r="H25" s="3" t="s">
        <v>68</v>
      </c>
      <c r="M25" s="3" t="s">
        <v>156</v>
      </c>
      <c r="Q25" s="7" t="s">
        <v>1666</v>
      </c>
      <c r="R25" s="7" t="s">
        <v>1692</v>
      </c>
      <c r="W25" s="7" t="s">
        <v>224</v>
      </c>
      <c r="X25" s="6" t="s">
        <v>223</v>
      </c>
      <c r="Y25" s="8" t="s">
        <v>221</v>
      </c>
    </row>
    <row r="26" spans="1:25" ht="24" x14ac:dyDescent="0.3">
      <c r="A26" s="3" t="s">
        <v>111</v>
      </c>
      <c r="B26" s="5" t="s">
        <v>13</v>
      </c>
      <c r="C26" s="5" t="s">
        <v>1</v>
      </c>
      <c r="D26" s="6">
        <v>5</v>
      </c>
      <c r="E26" s="7" t="s">
        <v>0</v>
      </c>
      <c r="F26" s="13" t="s">
        <v>1682</v>
      </c>
      <c r="H26" s="3" t="s">
        <v>69</v>
      </c>
      <c r="M26" s="3" t="s">
        <v>157</v>
      </c>
      <c r="Q26" s="7" t="s">
        <v>1666</v>
      </c>
      <c r="R26" s="7" t="s">
        <v>1692</v>
      </c>
      <c r="W26" s="7" t="s">
        <v>224</v>
      </c>
      <c r="X26" s="6" t="s">
        <v>223</v>
      </c>
      <c r="Y26" s="8" t="s">
        <v>221</v>
      </c>
    </row>
    <row r="27" spans="1:25" ht="24" x14ac:dyDescent="0.3">
      <c r="A27" s="3" t="s">
        <v>112</v>
      </c>
      <c r="B27" s="5" t="s">
        <v>13</v>
      </c>
      <c r="C27" s="5" t="s">
        <v>1</v>
      </c>
      <c r="D27" s="6">
        <v>5</v>
      </c>
      <c r="E27" s="7" t="s">
        <v>0</v>
      </c>
      <c r="F27" s="13" t="s">
        <v>1682</v>
      </c>
      <c r="H27" s="3" t="s">
        <v>70</v>
      </c>
      <c r="M27" s="3" t="s">
        <v>139</v>
      </c>
      <c r="Q27" s="7" t="s">
        <v>1666</v>
      </c>
      <c r="R27" s="7" t="s">
        <v>1692</v>
      </c>
      <c r="W27" s="7" t="s">
        <v>224</v>
      </c>
      <c r="X27" s="6" t="s">
        <v>223</v>
      </c>
      <c r="Y27" s="8" t="s">
        <v>221</v>
      </c>
    </row>
    <row r="28" spans="1:25" ht="24" x14ac:dyDescent="0.3">
      <c r="A28" s="3" t="s">
        <v>113</v>
      </c>
      <c r="B28" s="5" t="s">
        <v>13</v>
      </c>
      <c r="C28" s="5" t="s">
        <v>1</v>
      </c>
      <c r="D28" s="6">
        <v>5</v>
      </c>
      <c r="E28" s="7" t="s">
        <v>0</v>
      </c>
      <c r="F28" s="13" t="s">
        <v>1682</v>
      </c>
      <c r="H28" s="3" t="s">
        <v>71</v>
      </c>
      <c r="M28" s="3" t="s">
        <v>158</v>
      </c>
      <c r="Q28" s="7" t="s">
        <v>1666</v>
      </c>
      <c r="R28" s="7" t="s">
        <v>1692</v>
      </c>
      <c r="W28" s="7" t="s">
        <v>224</v>
      </c>
      <c r="X28" s="6" t="s">
        <v>223</v>
      </c>
      <c r="Y28" s="8" t="s">
        <v>221</v>
      </c>
    </row>
    <row r="29" spans="1:25" ht="24" x14ac:dyDescent="0.3">
      <c r="A29" s="3" t="s">
        <v>114</v>
      </c>
      <c r="B29" s="5" t="s">
        <v>13</v>
      </c>
      <c r="C29" s="5" t="s">
        <v>1</v>
      </c>
      <c r="D29" s="6">
        <v>5</v>
      </c>
      <c r="E29" s="7" t="s">
        <v>0</v>
      </c>
      <c r="F29" s="13" t="s">
        <v>1682</v>
      </c>
      <c r="H29" s="3" t="s">
        <v>72</v>
      </c>
      <c r="M29" s="3" t="s">
        <v>159</v>
      </c>
      <c r="Q29" s="7" t="s">
        <v>1666</v>
      </c>
      <c r="R29" s="7" t="s">
        <v>1692</v>
      </c>
      <c r="W29" s="7" t="s">
        <v>224</v>
      </c>
      <c r="X29" s="6" t="s">
        <v>223</v>
      </c>
      <c r="Y29" s="8" t="s">
        <v>221</v>
      </c>
    </row>
    <row r="30" spans="1:25" ht="24" x14ac:dyDescent="0.3">
      <c r="A30" s="3" t="s">
        <v>115</v>
      </c>
      <c r="B30" s="5" t="s">
        <v>13</v>
      </c>
      <c r="C30" s="5" t="s">
        <v>1</v>
      </c>
      <c r="D30" s="6">
        <v>5</v>
      </c>
      <c r="E30" s="7" t="s">
        <v>0</v>
      </c>
      <c r="F30" s="13" t="s">
        <v>1682</v>
      </c>
      <c r="H30" s="3" t="s">
        <v>73</v>
      </c>
      <c r="M30" s="3" t="s">
        <v>160</v>
      </c>
      <c r="Q30" s="7" t="s">
        <v>1666</v>
      </c>
      <c r="R30" s="7" t="s">
        <v>1692</v>
      </c>
      <c r="W30" s="7" t="s">
        <v>224</v>
      </c>
      <c r="X30" s="6" t="s">
        <v>223</v>
      </c>
      <c r="Y30" s="8" t="s">
        <v>221</v>
      </c>
    </row>
    <row r="31" spans="1:25" ht="24" x14ac:dyDescent="0.3">
      <c r="A31" s="3" t="s">
        <v>116</v>
      </c>
      <c r="B31" s="5" t="s">
        <v>13</v>
      </c>
      <c r="C31" s="5" t="s">
        <v>1</v>
      </c>
      <c r="D31" s="6">
        <v>5</v>
      </c>
      <c r="E31" s="7" t="s">
        <v>0</v>
      </c>
      <c r="F31" s="13" t="s">
        <v>1682</v>
      </c>
      <c r="H31" s="3" t="s">
        <v>74</v>
      </c>
      <c r="M31" s="3" t="s">
        <v>161</v>
      </c>
      <c r="Q31" s="7" t="s">
        <v>1666</v>
      </c>
      <c r="R31" s="7" t="s">
        <v>1692</v>
      </c>
      <c r="W31" s="7" t="s">
        <v>224</v>
      </c>
      <c r="X31" s="6" t="s">
        <v>223</v>
      </c>
      <c r="Y31" s="8" t="s">
        <v>221</v>
      </c>
    </row>
    <row r="32" spans="1:25" ht="24" x14ac:dyDescent="0.3">
      <c r="A32" s="3" t="s">
        <v>117</v>
      </c>
      <c r="B32" s="5" t="s">
        <v>13</v>
      </c>
      <c r="C32" s="5" t="s">
        <v>1</v>
      </c>
      <c r="D32" s="6">
        <v>5</v>
      </c>
      <c r="E32" s="7" t="s">
        <v>0</v>
      </c>
      <c r="F32" s="13" t="s">
        <v>1682</v>
      </c>
      <c r="H32" s="3" t="s">
        <v>75</v>
      </c>
      <c r="M32" s="3" t="s">
        <v>162</v>
      </c>
      <c r="Q32" s="7" t="s">
        <v>1666</v>
      </c>
      <c r="R32" s="7" t="s">
        <v>1692</v>
      </c>
      <c r="W32" s="7" t="s">
        <v>224</v>
      </c>
      <c r="X32" s="6" t="s">
        <v>223</v>
      </c>
      <c r="Y32" s="8" t="s">
        <v>221</v>
      </c>
    </row>
    <row r="33" spans="1:25" ht="24" x14ac:dyDescent="0.3">
      <c r="A33" s="3" t="s">
        <v>118</v>
      </c>
      <c r="B33" s="5" t="s">
        <v>13</v>
      </c>
      <c r="C33" s="5" t="s">
        <v>1</v>
      </c>
      <c r="D33" s="6">
        <v>5</v>
      </c>
      <c r="E33" s="7" t="s">
        <v>0</v>
      </c>
      <c r="F33" s="13" t="s">
        <v>1682</v>
      </c>
      <c r="H33" s="3" t="s">
        <v>76</v>
      </c>
      <c r="M33" s="3" t="s">
        <v>163</v>
      </c>
      <c r="Q33" s="7" t="s">
        <v>1666</v>
      </c>
      <c r="R33" s="7" t="s">
        <v>1692</v>
      </c>
      <c r="W33" s="7" t="s">
        <v>224</v>
      </c>
      <c r="X33" s="6" t="s">
        <v>223</v>
      </c>
      <c r="Y33" s="8" t="s">
        <v>221</v>
      </c>
    </row>
    <row r="34" spans="1:25" ht="24" x14ac:dyDescent="0.3">
      <c r="A34" s="3" t="s">
        <v>119</v>
      </c>
      <c r="B34" s="5" t="s">
        <v>13</v>
      </c>
      <c r="C34" s="5" t="s">
        <v>1</v>
      </c>
      <c r="D34" s="6">
        <v>5</v>
      </c>
      <c r="E34" s="7" t="s">
        <v>0</v>
      </c>
      <c r="F34" s="13" t="s">
        <v>1682</v>
      </c>
      <c r="H34" s="3" t="s">
        <v>77</v>
      </c>
      <c r="M34" s="3" t="s">
        <v>164</v>
      </c>
      <c r="Q34" s="7" t="s">
        <v>1666</v>
      </c>
      <c r="R34" s="7" t="s">
        <v>1692</v>
      </c>
      <c r="W34" s="7" t="s">
        <v>224</v>
      </c>
      <c r="X34" s="6" t="s">
        <v>223</v>
      </c>
      <c r="Y34" s="8" t="s">
        <v>221</v>
      </c>
    </row>
    <row r="35" spans="1:25" ht="24" x14ac:dyDescent="0.3">
      <c r="A35" s="3" t="s">
        <v>120</v>
      </c>
      <c r="B35" s="5" t="s">
        <v>13</v>
      </c>
      <c r="C35" s="5" t="s">
        <v>1</v>
      </c>
      <c r="D35" s="6">
        <v>5</v>
      </c>
      <c r="E35" s="7" t="s">
        <v>0</v>
      </c>
      <c r="F35" s="13" t="s">
        <v>1682</v>
      </c>
      <c r="H35" s="3" t="s">
        <v>78</v>
      </c>
      <c r="M35" s="3" t="s">
        <v>165</v>
      </c>
      <c r="Q35" s="7" t="s">
        <v>1666</v>
      </c>
      <c r="R35" s="7" t="s">
        <v>1692</v>
      </c>
      <c r="W35" s="7" t="s">
        <v>224</v>
      </c>
      <c r="X35" s="6" t="s">
        <v>223</v>
      </c>
      <c r="Y35" s="8" t="s">
        <v>221</v>
      </c>
    </row>
    <row r="36" spans="1:25" ht="24" x14ac:dyDescent="0.3">
      <c r="A36" s="3" t="s">
        <v>121</v>
      </c>
      <c r="B36" s="5" t="s">
        <v>13</v>
      </c>
      <c r="C36" s="5" t="s">
        <v>1</v>
      </c>
      <c r="D36" s="6">
        <v>5</v>
      </c>
      <c r="E36" s="7" t="s">
        <v>0</v>
      </c>
      <c r="F36" s="13" t="s">
        <v>1682</v>
      </c>
      <c r="H36" s="3" t="s">
        <v>79</v>
      </c>
      <c r="M36" s="3" t="s">
        <v>166</v>
      </c>
      <c r="Q36" s="7" t="s">
        <v>1666</v>
      </c>
      <c r="R36" s="7" t="s">
        <v>1692</v>
      </c>
      <c r="W36" s="7" t="s">
        <v>224</v>
      </c>
      <c r="X36" s="6" t="s">
        <v>223</v>
      </c>
      <c r="Y36" s="8" t="s">
        <v>221</v>
      </c>
    </row>
    <row r="37" spans="1:25" ht="24" x14ac:dyDescent="0.3">
      <c r="A37" s="3" t="s">
        <v>122</v>
      </c>
      <c r="B37" s="5" t="s">
        <v>13</v>
      </c>
      <c r="C37" s="5" t="s">
        <v>1</v>
      </c>
      <c r="D37" s="6">
        <v>5</v>
      </c>
      <c r="E37" s="7" t="s">
        <v>0</v>
      </c>
      <c r="F37" s="13" t="s">
        <v>1682</v>
      </c>
      <c r="H37" s="3" t="s">
        <v>80</v>
      </c>
      <c r="M37" s="3" t="s">
        <v>167</v>
      </c>
      <c r="Q37" s="7" t="s">
        <v>1666</v>
      </c>
      <c r="R37" s="7" t="s">
        <v>1692</v>
      </c>
      <c r="W37" s="7" t="s">
        <v>224</v>
      </c>
      <c r="X37" s="6" t="s">
        <v>223</v>
      </c>
      <c r="Y37" s="8" t="s">
        <v>221</v>
      </c>
    </row>
    <row r="38" spans="1:25" ht="24" x14ac:dyDescent="0.3">
      <c r="A38" s="3" t="s">
        <v>123</v>
      </c>
      <c r="B38" s="5" t="s">
        <v>13</v>
      </c>
      <c r="C38" s="5" t="s">
        <v>1</v>
      </c>
      <c r="D38" s="6">
        <v>5</v>
      </c>
      <c r="E38" s="7" t="s">
        <v>0</v>
      </c>
      <c r="F38" s="13" t="s">
        <v>1682</v>
      </c>
      <c r="H38" s="3" t="s">
        <v>81</v>
      </c>
      <c r="M38" s="3" t="s">
        <v>168</v>
      </c>
      <c r="Q38" s="7" t="s">
        <v>1666</v>
      </c>
      <c r="R38" s="7" t="s">
        <v>1692</v>
      </c>
      <c r="W38" s="7" t="s">
        <v>224</v>
      </c>
      <c r="X38" s="6" t="s">
        <v>223</v>
      </c>
      <c r="Y38" s="8" t="s">
        <v>221</v>
      </c>
    </row>
    <row r="39" spans="1:25" ht="24" x14ac:dyDescent="0.3">
      <c r="A39" s="3" t="s">
        <v>124</v>
      </c>
      <c r="B39" s="5" t="s">
        <v>13</v>
      </c>
      <c r="C39" s="5" t="s">
        <v>1</v>
      </c>
      <c r="D39" s="6">
        <v>5</v>
      </c>
      <c r="E39" s="7" t="s">
        <v>0</v>
      </c>
      <c r="F39" s="13" t="s">
        <v>1682</v>
      </c>
      <c r="H39" s="3" t="s">
        <v>82</v>
      </c>
      <c r="M39" s="3" t="s">
        <v>169</v>
      </c>
      <c r="Q39" s="7" t="s">
        <v>1666</v>
      </c>
      <c r="R39" s="7" t="s">
        <v>1692</v>
      </c>
      <c r="W39" s="7" t="s">
        <v>224</v>
      </c>
      <c r="X39" s="6" t="s">
        <v>223</v>
      </c>
      <c r="Y39" s="8" t="s">
        <v>221</v>
      </c>
    </row>
    <row r="40" spans="1:25" ht="24" x14ac:dyDescent="0.3">
      <c r="A40" s="3" t="s">
        <v>125</v>
      </c>
      <c r="B40" s="5" t="s">
        <v>13</v>
      </c>
      <c r="C40" s="5" t="s">
        <v>1</v>
      </c>
      <c r="D40" s="6">
        <v>5</v>
      </c>
      <c r="E40" s="7" t="s">
        <v>0</v>
      </c>
      <c r="F40" s="13" t="s">
        <v>1682</v>
      </c>
      <c r="H40" s="3" t="s">
        <v>83</v>
      </c>
      <c r="M40" s="3" t="s">
        <v>170</v>
      </c>
      <c r="Q40" s="7" t="s">
        <v>1666</v>
      </c>
      <c r="R40" s="7" t="s">
        <v>1692</v>
      </c>
      <c r="W40" s="7" t="s">
        <v>224</v>
      </c>
      <c r="X40" s="6" t="s">
        <v>223</v>
      </c>
      <c r="Y40" s="8" t="s">
        <v>221</v>
      </c>
    </row>
    <row r="41" spans="1:25" ht="24" x14ac:dyDescent="0.3">
      <c r="A41" s="3" t="s">
        <v>126</v>
      </c>
      <c r="B41" s="5" t="s">
        <v>13</v>
      </c>
      <c r="C41" s="5" t="s">
        <v>1</v>
      </c>
      <c r="D41" s="6">
        <v>5</v>
      </c>
      <c r="E41" s="7" t="s">
        <v>0</v>
      </c>
      <c r="F41" s="13" t="s">
        <v>1682</v>
      </c>
      <c r="H41" s="3" t="s">
        <v>84</v>
      </c>
      <c r="M41" s="3" t="s">
        <v>171</v>
      </c>
      <c r="Q41" s="7" t="s">
        <v>1666</v>
      </c>
      <c r="R41" s="7" t="s">
        <v>1692</v>
      </c>
      <c r="W41" s="7" t="s">
        <v>224</v>
      </c>
      <c r="X41" s="6" t="s">
        <v>223</v>
      </c>
      <c r="Y41" s="8" t="s">
        <v>221</v>
      </c>
    </row>
    <row r="42" spans="1:25" ht="24" x14ac:dyDescent="0.3">
      <c r="A42" s="3" t="s">
        <v>127</v>
      </c>
      <c r="B42" s="5" t="s">
        <v>13</v>
      </c>
      <c r="C42" s="5" t="s">
        <v>1</v>
      </c>
      <c r="D42" s="6">
        <v>5</v>
      </c>
      <c r="E42" s="7" t="s">
        <v>0</v>
      </c>
      <c r="F42" s="13" t="s">
        <v>1682</v>
      </c>
      <c r="H42" s="3" t="s">
        <v>85</v>
      </c>
      <c r="M42" s="3" t="s">
        <v>172</v>
      </c>
      <c r="Q42" s="7" t="s">
        <v>1666</v>
      </c>
      <c r="R42" s="7" t="s">
        <v>1692</v>
      </c>
      <c r="W42" s="7" t="s">
        <v>224</v>
      </c>
      <c r="X42" s="6" t="s">
        <v>223</v>
      </c>
      <c r="Y42" s="8" t="s">
        <v>221</v>
      </c>
    </row>
    <row r="43" spans="1:25" ht="24" x14ac:dyDescent="0.3">
      <c r="A43" s="3" t="s">
        <v>128</v>
      </c>
      <c r="B43" s="5" t="s">
        <v>13</v>
      </c>
      <c r="C43" s="5" t="s">
        <v>1</v>
      </c>
      <c r="D43" s="6">
        <v>5</v>
      </c>
      <c r="E43" s="7" t="s">
        <v>0</v>
      </c>
      <c r="F43" s="13" t="s">
        <v>1682</v>
      </c>
      <c r="H43" s="3" t="s">
        <v>86</v>
      </c>
      <c r="M43" s="3" t="s">
        <v>173</v>
      </c>
      <c r="Q43" s="7" t="s">
        <v>1666</v>
      </c>
      <c r="R43" s="7" t="s">
        <v>1692</v>
      </c>
      <c r="W43" s="7" t="s">
        <v>224</v>
      </c>
      <c r="X43" s="6" t="s">
        <v>223</v>
      </c>
      <c r="Y43" s="8" t="s">
        <v>221</v>
      </c>
    </row>
    <row r="44" spans="1:25" ht="24" x14ac:dyDescent="0.3">
      <c r="A44" s="3" t="s">
        <v>129</v>
      </c>
      <c r="B44" s="5" t="s">
        <v>13</v>
      </c>
      <c r="C44" s="5" t="s">
        <v>1</v>
      </c>
      <c r="D44" s="6">
        <v>5</v>
      </c>
      <c r="E44" s="7" t="s">
        <v>0</v>
      </c>
      <c r="F44" s="13" t="s">
        <v>1682</v>
      </c>
      <c r="H44" s="3" t="s">
        <v>87</v>
      </c>
      <c r="M44" s="3" t="s">
        <v>174</v>
      </c>
      <c r="Q44" s="7" t="s">
        <v>1666</v>
      </c>
      <c r="R44" s="7" t="s">
        <v>1692</v>
      </c>
      <c r="W44" s="7" t="s">
        <v>224</v>
      </c>
      <c r="X44" s="6" t="s">
        <v>223</v>
      </c>
      <c r="Y44" s="8" t="s">
        <v>221</v>
      </c>
    </row>
    <row r="45" spans="1:25" ht="24" x14ac:dyDescent="0.3">
      <c r="A45" s="3" t="s">
        <v>130</v>
      </c>
      <c r="B45" s="5" t="s">
        <v>13</v>
      </c>
      <c r="C45" s="5" t="s">
        <v>1</v>
      </c>
      <c r="D45" s="6">
        <v>5</v>
      </c>
      <c r="E45" s="7" t="s">
        <v>0</v>
      </c>
      <c r="F45" s="13" t="s">
        <v>1682</v>
      </c>
      <c r="H45" s="3" t="s">
        <v>88</v>
      </c>
      <c r="M45" s="3" t="s">
        <v>175</v>
      </c>
      <c r="Q45" s="7" t="s">
        <v>1666</v>
      </c>
      <c r="R45" s="7" t="s">
        <v>1692</v>
      </c>
      <c r="W45" s="7" t="s">
        <v>224</v>
      </c>
      <c r="X45" s="6" t="s">
        <v>223</v>
      </c>
      <c r="Y45" s="8" t="s">
        <v>221</v>
      </c>
    </row>
    <row r="46" spans="1:25" ht="24" x14ac:dyDescent="0.3">
      <c r="A46" s="3" t="s">
        <v>131</v>
      </c>
      <c r="B46" s="5" t="s">
        <v>13</v>
      </c>
      <c r="C46" s="5" t="s">
        <v>1</v>
      </c>
      <c r="D46" s="6">
        <v>5</v>
      </c>
      <c r="E46" s="7" t="s">
        <v>0</v>
      </c>
      <c r="F46" s="13" t="s">
        <v>1682</v>
      </c>
      <c r="H46" s="3" t="s">
        <v>89</v>
      </c>
      <c r="M46" s="3" t="s">
        <v>176</v>
      </c>
      <c r="Q46" s="7" t="s">
        <v>1666</v>
      </c>
      <c r="R46" s="7" t="s">
        <v>1692</v>
      </c>
      <c r="W46" s="7" t="s">
        <v>224</v>
      </c>
      <c r="X46" s="6" t="s">
        <v>223</v>
      </c>
      <c r="Y46" s="8" t="s">
        <v>221</v>
      </c>
    </row>
    <row r="47" spans="1:25" ht="24" x14ac:dyDescent="0.3">
      <c r="A47" s="3" t="s">
        <v>132</v>
      </c>
      <c r="B47" s="5" t="s">
        <v>13</v>
      </c>
      <c r="C47" s="5" t="s">
        <v>1</v>
      </c>
      <c r="D47" s="6">
        <v>5</v>
      </c>
      <c r="E47" s="7" t="s">
        <v>0</v>
      </c>
      <c r="F47" s="13" t="s">
        <v>1682</v>
      </c>
      <c r="H47" s="3" t="s">
        <v>90</v>
      </c>
      <c r="M47" s="3" t="s">
        <v>177</v>
      </c>
      <c r="Q47" s="7" t="s">
        <v>1666</v>
      </c>
      <c r="R47" s="7" t="s">
        <v>1692</v>
      </c>
      <c r="W47" s="7" t="s">
        <v>224</v>
      </c>
      <c r="X47" s="6" t="s">
        <v>223</v>
      </c>
      <c r="Y47" s="8" t="s">
        <v>221</v>
      </c>
    </row>
    <row r="48" spans="1:25" ht="24" x14ac:dyDescent="0.3">
      <c r="A48" s="3" t="s">
        <v>133</v>
      </c>
      <c r="B48" s="5" t="s">
        <v>13</v>
      </c>
      <c r="C48" s="5" t="s">
        <v>1</v>
      </c>
      <c r="D48" s="6">
        <v>5</v>
      </c>
      <c r="E48" s="7" t="s">
        <v>0</v>
      </c>
      <c r="F48" s="13" t="s">
        <v>1682</v>
      </c>
      <c r="H48" s="3" t="s">
        <v>91</v>
      </c>
      <c r="M48" s="3" t="s">
        <v>178</v>
      </c>
      <c r="Q48" s="7" t="s">
        <v>1666</v>
      </c>
      <c r="R48" s="7" t="s">
        <v>1692</v>
      </c>
      <c r="W48" s="7" t="s">
        <v>224</v>
      </c>
      <c r="X48" s="6" t="s">
        <v>223</v>
      </c>
      <c r="Y48" s="8" t="s">
        <v>221</v>
      </c>
    </row>
    <row r="49" spans="1:25" ht="24" x14ac:dyDescent="0.3">
      <c r="A49" s="3" t="s">
        <v>134</v>
      </c>
      <c r="B49" s="5" t="s">
        <v>13</v>
      </c>
      <c r="C49" s="5" t="s">
        <v>1</v>
      </c>
      <c r="D49" s="6">
        <v>5</v>
      </c>
      <c r="E49" s="7" t="s">
        <v>0</v>
      </c>
      <c r="F49" s="13" t="s">
        <v>1682</v>
      </c>
      <c r="H49" s="3" t="s">
        <v>92</v>
      </c>
      <c r="M49" s="3" t="s">
        <v>179</v>
      </c>
      <c r="Q49" s="7" t="s">
        <v>1666</v>
      </c>
      <c r="R49" s="7" t="s">
        <v>1692</v>
      </c>
      <c r="W49" s="7" t="s">
        <v>224</v>
      </c>
      <c r="X49" s="6" t="s">
        <v>223</v>
      </c>
      <c r="Y49" s="8" t="s">
        <v>221</v>
      </c>
    </row>
    <row r="50" spans="1:25" ht="24" x14ac:dyDescent="0.3">
      <c r="A50" s="3" t="s">
        <v>135</v>
      </c>
      <c r="B50" s="5" t="s">
        <v>13</v>
      </c>
      <c r="C50" s="5" t="s">
        <v>1</v>
      </c>
      <c r="D50" s="6">
        <v>5</v>
      </c>
      <c r="E50" s="7" t="s">
        <v>0</v>
      </c>
      <c r="F50" s="13" t="s">
        <v>1682</v>
      </c>
      <c r="H50" s="3" t="s">
        <v>93</v>
      </c>
      <c r="M50" s="3" t="s">
        <v>180</v>
      </c>
      <c r="Q50" s="7" t="s">
        <v>1666</v>
      </c>
      <c r="R50" s="7" t="s">
        <v>1692</v>
      </c>
      <c r="W50" s="7" t="s">
        <v>224</v>
      </c>
      <c r="X50" s="6" t="s">
        <v>223</v>
      </c>
      <c r="Y50" s="8" t="s">
        <v>221</v>
      </c>
    </row>
    <row r="51" spans="1:25" ht="24" x14ac:dyDescent="0.3">
      <c r="A51" s="3" t="s">
        <v>136</v>
      </c>
      <c r="B51" s="5" t="s">
        <v>13</v>
      </c>
      <c r="C51" s="5" t="s">
        <v>1</v>
      </c>
      <c r="D51" s="6">
        <v>5</v>
      </c>
      <c r="E51" s="7" t="s">
        <v>0</v>
      </c>
      <c r="F51" s="13" t="s">
        <v>1682</v>
      </c>
      <c r="H51" s="3" t="s">
        <v>94</v>
      </c>
      <c r="M51" s="3" t="s">
        <v>181</v>
      </c>
      <c r="Q51" s="7" t="s">
        <v>1666</v>
      </c>
      <c r="R51" s="7" t="s">
        <v>1692</v>
      </c>
      <c r="W51" s="7" t="s">
        <v>224</v>
      </c>
      <c r="X51" s="6" t="s">
        <v>223</v>
      </c>
      <c r="Y51" s="8" t="s">
        <v>221</v>
      </c>
    </row>
    <row r="52" spans="1:25" x14ac:dyDescent="0.3">
      <c r="A52" s="3" t="s">
        <v>182</v>
      </c>
      <c r="B52" s="5" t="s">
        <v>13</v>
      </c>
      <c r="C52" s="5" t="s">
        <v>2</v>
      </c>
      <c r="D52" s="6">
        <v>12</v>
      </c>
      <c r="E52" s="7" t="s">
        <v>0</v>
      </c>
      <c r="F52" s="13" t="s">
        <v>1680</v>
      </c>
      <c r="H52" s="3" t="s">
        <v>40</v>
      </c>
      <c r="M52" s="3" t="s">
        <v>187</v>
      </c>
      <c r="Q52" s="7" t="s">
        <v>1666</v>
      </c>
      <c r="R52" s="7" t="s">
        <v>1692</v>
      </c>
      <c r="W52" s="7" t="s">
        <v>224</v>
      </c>
      <c r="X52" s="6" t="s">
        <v>222</v>
      </c>
      <c r="Y52" s="3" t="s">
        <v>1665</v>
      </c>
    </row>
    <row r="53" spans="1:25" x14ac:dyDescent="0.3">
      <c r="A53" s="3" t="s">
        <v>183</v>
      </c>
      <c r="B53" s="5" t="s">
        <v>13</v>
      </c>
      <c r="C53" s="5" t="s">
        <v>2</v>
      </c>
      <c r="D53" s="6">
        <v>12</v>
      </c>
      <c r="E53" s="7" t="s">
        <v>0</v>
      </c>
      <c r="F53" s="13" t="s">
        <v>1681</v>
      </c>
      <c r="H53" s="3" t="s">
        <v>41</v>
      </c>
      <c r="M53" s="3" t="s">
        <v>188</v>
      </c>
      <c r="Q53" s="7" t="s">
        <v>1666</v>
      </c>
      <c r="R53" s="7" t="s">
        <v>1692</v>
      </c>
      <c r="W53" s="7" t="s">
        <v>224</v>
      </c>
      <c r="X53" s="6" t="s">
        <v>222</v>
      </c>
      <c r="Y53" s="3" t="s">
        <v>225</v>
      </c>
    </row>
    <row r="54" spans="1:25" x14ac:dyDescent="0.3">
      <c r="A54" s="3" t="s">
        <v>184</v>
      </c>
      <c r="B54" s="5" t="s">
        <v>13</v>
      </c>
      <c r="C54" s="5" t="s">
        <v>2</v>
      </c>
      <c r="D54" s="6">
        <v>12</v>
      </c>
      <c r="E54" s="7" t="s">
        <v>0</v>
      </c>
      <c r="F54" s="13" t="s">
        <v>1683</v>
      </c>
      <c r="H54" s="3" t="s">
        <v>42</v>
      </c>
      <c r="M54" s="3" t="s">
        <v>189</v>
      </c>
      <c r="Q54" s="7" t="s">
        <v>1666</v>
      </c>
      <c r="R54" s="7" t="s">
        <v>1692</v>
      </c>
      <c r="W54" s="7" t="s">
        <v>224</v>
      </c>
      <c r="X54" s="6" t="s">
        <v>222</v>
      </c>
      <c r="Y54" s="3" t="s">
        <v>1663</v>
      </c>
    </row>
    <row r="55" spans="1:25" ht="24" x14ac:dyDescent="0.3">
      <c r="A55" s="3" t="s">
        <v>185</v>
      </c>
      <c r="B55" s="5" t="s">
        <v>13</v>
      </c>
      <c r="C55" s="5" t="s">
        <v>2</v>
      </c>
      <c r="D55" s="6">
        <v>12</v>
      </c>
      <c r="E55" s="7" t="s">
        <v>0</v>
      </c>
      <c r="F55" s="13" t="s">
        <v>1686</v>
      </c>
      <c r="H55" s="3" t="s">
        <v>43</v>
      </c>
      <c r="M55" s="3" t="s">
        <v>190</v>
      </c>
      <c r="Q55" s="7" t="s">
        <v>1666</v>
      </c>
      <c r="R55" s="7" t="s">
        <v>1692</v>
      </c>
      <c r="W55" s="7" t="s">
        <v>224</v>
      </c>
      <c r="X55" s="6" t="s">
        <v>223</v>
      </c>
      <c r="Y55" s="8" t="s">
        <v>221</v>
      </c>
    </row>
    <row r="56" spans="1:25" ht="24" x14ac:dyDescent="0.3">
      <c r="A56" s="3" t="s">
        <v>186</v>
      </c>
      <c r="B56" s="5" t="s">
        <v>13</v>
      </c>
      <c r="C56" s="5" t="s">
        <v>2</v>
      </c>
      <c r="D56" s="6">
        <v>12</v>
      </c>
      <c r="E56" s="7" t="s">
        <v>0</v>
      </c>
      <c r="F56" s="13" t="s">
        <v>1686</v>
      </c>
      <c r="H56" s="3" t="s">
        <v>44</v>
      </c>
      <c r="M56" s="3" t="s">
        <v>191</v>
      </c>
      <c r="Q56" s="7" t="s">
        <v>1666</v>
      </c>
      <c r="R56" s="7" t="s">
        <v>1692</v>
      </c>
      <c r="W56" s="7" t="s">
        <v>224</v>
      </c>
      <c r="X56" s="6" t="s">
        <v>223</v>
      </c>
      <c r="Y56" s="8" t="s">
        <v>221</v>
      </c>
    </row>
    <row r="57" spans="1:25" x14ac:dyDescent="0.3">
      <c r="A57" s="3" t="s">
        <v>199</v>
      </c>
      <c r="B57" s="5" t="s">
        <v>13</v>
      </c>
      <c r="C57" s="5" t="s">
        <v>15</v>
      </c>
      <c r="D57" s="6">
        <v>1</v>
      </c>
      <c r="E57" s="7" t="s">
        <v>0</v>
      </c>
      <c r="F57" s="13" t="s">
        <v>1680</v>
      </c>
      <c r="H57" s="3" t="s">
        <v>192</v>
      </c>
      <c r="M57" s="3" t="s">
        <v>211</v>
      </c>
      <c r="Q57" s="7" t="s">
        <v>1666</v>
      </c>
      <c r="R57" s="7" t="s">
        <v>1692</v>
      </c>
      <c r="W57" s="7" t="s">
        <v>224</v>
      </c>
      <c r="X57" s="6" t="s">
        <v>226</v>
      </c>
      <c r="Y57" s="8" t="s">
        <v>227</v>
      </c>
    </row>
    <row r="58" spans="1:25" x14ac:dyDescent="0.3">
      <c r="A58" s="3" t="s">
        <v>200</v>
      </c>
      <c r="B58" s="5" t="s">
        <v>13</v>
      </c>
      <c r="C58" s="5" t="s">
        <v>15</v>
      </c>
      <c r="D58" s="6">
        <v>1</v>
      </c>
      <c r="E58" s="7" t="s">
        <v>0</v>
      </c>
      <c r="F58" s="13" t="s">
        <v>1680</v>
      </c>
      <c r="H58" s="3" t="s">
        <v>193</v>
      </c>
      <c r="M58" s="3" t="s">
        <v>212</v>
      </c>
      <c r="Q58" s="7" t="s">
        <v>1666</v>
      </c>
      <c r="R58" s="7" t="s">
        <v>1692</v>
      </c>
      <c r="W58" s="7" t="s">
        <v>224</v>
      </c>
      <c r="X58" s="6" t="s">
        <v>226</v>
      </c>
      <c r="Y58" s="3" t="s">
        <v>227</v>
      </c>
    </row>
    <row r="59" spans="1:25" x14ac:dyDescent="0.3">
      <c r="A59" s="3" t="s">
        <v>201</v>
      </c>
      <c r="B59" s="5" t="s">
        <v>13</v>
      </c>
      <c r="C59" s="5" t="s">
        <v>15</v>
      </c>
      <c r="D59" s="6">
        <v>1</v>
      </c>
      <c r="E59" s="7" t="s">
        <v>0</v>
      </c>
      <c r="F59" s="13" t="s">
        <v>1680</v>
      </c>
      <c r="H59" s="3" t="s">
        <v>194</v>
      </c>
      <c r="M59" s="3" t="s">
        <v>213</v>
      </c>
      <c r="Q59" s="7" t="s">
        <v>1666</v>
      </c>
      <c r="R59" s="7" t="s">
        <v>1692</v>
      </c>
      <c r="W59" s="7" t="s">
        <v>224</v>
      </c>
      <c r="X59" s="6" t="s">
        <v>226</v>
      </c>
      <c r="Y59" s="3" t="s">
        <v>227</v>
      </c>
    </row>
    <row r="60" spans="1:25" x14ac:dyDescent="0.3">
      <c r="A60" s="3" t="s">
        <v>202</v>
      </c>
      <c r="B60" s="5" t="s">
        <v>13</v>
      </c>
      <c r="C60" s="5" t="s">
        <v>15</v>
      </c>
      <c r="D60" s="6">
        <v>1</v>
      </c>
      <c r="E60" s="7" t="s">
        <v>0</v>
      </c>
      <c r="F60" s="13" t="s">
        <v>1680</v>
      </c>
      <c r="H60" s="3" t="s">
        <v>195</v>
      </c>
      <c r="M60" s="3" t="s">
        <v>214</v>
      </c>
      <c r="Q60" s="7" t="s">
        <v>1666</v>
      </c>
      <c r="R60" s="7" t="s">
        <v>1692</v>
      </c>
      <c r="W60" s="7" t="s">
        <v>224</v>
      </c>
      <c r="X60" s="6" t="s">
        <v>226</v>
      </c>
      <c r="Y60" s="3" t="s">
        <v>227</v>
      </c>
    </row>
    <row r="61" spans="1:25" x14ac:dyDescent="0.3">
      <c r="A61" s="3" t="s">
        <v>203</v>
      </c>
      <c r="B61" s="5" t="s">
        <v>13</v>
      </c>
      <c r="C61" s="5" t="s">
        <v>15</v>
      </c>
      <c r="D61" s="6">
        <v>1</v>
      </c>
      <c r="E61" s="7" t="s">
        <v>0</v>
      </c>
      <c r="F61" s="13" t="s">
        <v>1680</v>
      </c>
      <c r="H61" s="3" t="s">
        <v>196</v>
      </c>
      <c r="M61" s="3" t="s">
        <v>215</v>
      </c>
      <c r="Q61" s="7" t="s">
        <v>1666</v>
      </c>
      <c r="R61" s="7" t="s">
        <v>1692</v>
      </c>
      <c r="W61" s="7" t="s">
        <v>224</v>
      </c>
      <c r="X61" s="6" t="s">
        <v>226</v>
      </c>
      <c r="Y61" s="3" t="s">
        <v>227</v>
      </c>
    </row>
    <row r="62" spans="1:25" x14ac:dyDescent="0.3">
      <c r="A62" s="3" t="s">
        <v>204</v>
      </c>
      <c r="B62" s="5" t="s">
        <v>13</v>
      </c>
      <c r="C62" s="5" t="s">
        <v>15</v>
      </c>
      <c r="D62" s="6">
        <v>1</v>
      </c>
      <c r="E62" s="7" t="s">
        <v>0</v>
      </c>
      <c r="F62" s="13" t="s">
        <v>1680</v>
      </c>
      <c r="H62" s="3" t="s">
        <v>197</v>
      </c>
      <c r="M62" s="3" t="s">
        <v>216</v>
      </c>
      <c r="Q62" s="7" t="s">
        <v>1666</v>
      </c>
      <c r="R62" s="7" t="s">
        <v>1692</v>
      </c>
      <c r="W62" s="7" t="s">
        <v>224</v>
      </c>
      <c r="X62" s="6" t="s">
        <v>226</v>
      </c>
      <c r="Y62" s="3" t="s">
        <v>227</v>
      </c>
    </row>
    <row r="63" spans="1:25" x14ac:dyDescent="0.3">
      <c r="A63" s="3" t="s">
        <v>205</v>
      </c>
      <c r="B63" s="5" t="s">
        <v>13</v>
      </c>
      <c r="C63" s="5" t="s">
        <v>15</v>
      </c>
      <c r="D63" s="6">
        <v>1</v>
      </c>
      <c r="E63" s="7" t="s">
        <v>0</v>
      </c>
      <c r="F63" s="13" t="s">
        <v>1680</v>
      </c>
      <c r="H63" s="3" t="s">
        <v>198</v>
      </c>
      <c r="M63" s="3" t="s">
        <v>217</v>
      </c>
      <c r="Q63" s="7" t="s">
        <v>1666</v>
      </c>
      <c r="R63" s="7" t="s">
        <v>1692</v>
      </c>
      <c r="W63" s="7" t="s">
        <v>224</v>
      </c>
      <c r="X63" s="6" t="s">
        <v>226</v>
      </c>
      <c r="Y63" s="3" t="s">
        <v>227</v>
      </c>
    </row>
    <row r="64" spans="1:25" x14ac:dyDescent="0.3">
      <c r="A64" s="3" t="s">
        <v>206</v>
      </c>
      <c r="B64" s="5" t="s">
        <v>13</v>
      </c>
      <c r="C64" s="5" t="s">
        <v>15</v>
      </c>
      <c r="D64" s="6">
        <v>1</v>
      </c>
      <c r="E64" s="7" t="s">
        <v>0</v>
      </c>
      <c r="F64" s="13" t="s">
        <v>1680</v>
      </c>
      <c r="H64" s="3" t="s">
        <v>40</v>
      </c>
      <c r="M64" s="3" t="s">
        <v>218</v>
      </c>
      <c r="Q64" s="7" t="s">
        <v>1666</v>
      </c>
      <c r="R64" s="7" t="s">
        <v>1692</v>
      </c>
      <c r="W64" s="7" t="s">
        <v>224</v>
      </c>
      <c r="X64" s="6" t="s">
        <v>226</v>
      </c>
      <c r="Y64" s="3" t="s">
        <v>227</v>
      </c>
    </row>
    <row r="65" spans="1:25" x14ac:dyDescent="0.3">
      <c r="A65" s="3" t="s">
        <v>207</v>
      </c>
      <c r="B65" s="5" t="s">
        <v>13</v>
      </c>
      <c r="C65" s="5" t="s">
        <v>15</v>
      </c>
      <c r="D65" s="6">
        <v>1</v>
      </c>
      <c r="E65" s="7" t="s">
        <v>0</v>
      </c>
      <c r="F65" s="13" t="s">
        <v>1681</v>
      </c>
      <c r="H65" s="3" t="s">
        <v>41</v>
      </c>
      <c r="M65" s="3" t="s">
        <v>219</v>
      </c>
      <c r="Q65" s="7" t="s">
        <v>1666</v>
      </c>
      <c r="R65" s="7" t="s">
        <v>1692</v>
      </c>
      <c r="W65" s="7" t="s">
        <v>224</v>
      </c>
      <c r="X65" s="6" t="s">
        <v>226</v>
      </c>
      <c r="Y65" s="3" t="s">
        <v>227</v>
      </c>
    </row>
    <row r="66" spans="1:25" x14ac:dyDescent="0.3">
      <c r="A66" s="3" t="s">
        <v>208</v>
      </c>
      <c r="B66" s="5" t="s">
        <v>13</v>
      </c>
      <c r="C66" s="5" t="s">
        <v>15</v>
      </c>
      <c r="D66" s="6">
        <v>1</v>
      </c>
      <c r="E66" s="7" t="s">
        <v>0</v>
      </c>
      <c r="F66" s="13" t="s">
        <v>1683</v>
      </c>
      <c r="H66" s="3" t="s">
        <v>42</v>
      </c>
      <c r="M66" s="3" t="s">
        <v>220</v>
      </c>
      <c r="Q66" s="7" t="s">
        <v>1666</v>
      </c>
      <c r="R66" s="7" t="s">
        <v>1692</v>
      </c>
      <c r="W66" s="7" t="s">
        <v>224</v>
      </c>
      <c r="X66" s="6" t="s">
        <v>226</v>
      </c>
      <c r="Y66" s="3" t="s">
        <v>227</v>
      </c>
    </row>
    <row r="67" spans="1:25" ht="24" x14ac:dyDescent="0.3">
      <c r="A67" s="3" t="s">
        <v>209</v>
      </c>
      <c r="B67" s="5" t="s">
        <v>13</v>
      </c>
      <c r="C67" s="5" t="s">
        <v>15</v>
      </c>
      <c r="D67" s="6">
        <v>1</v>
      </c>
      <c r="E67" s="7" t="s">
        <v>0</v>
      </c>
      <c r="F67" s="13" t="s">
        <v>1686</v>
      </c>
      <c r="H67" s="3" t="s">
        <v>43</v>
      </c>
      <c r="M67" s="3" t="s">
        <v>190</v>
      </c>
      <c r="Q67" s="7" t="s">
        <v>1666</v>
      </c>
      <c r="R67" s="7" t="s">
        <v>1692</v>
      </c>
      <c r="W67" s="7" t="s">
        <v>224</v>
      </c>
      <c r="X67" s="6" t="s">
        <v>223</v>
      </c>
      <c r="Y67" s="8" t="s">
        <v>221</v>
      </c>
    </row>
    <row r="68" spans="1:25" ht="24" x14ac:dyDescent="0.3">
      <c r="A68" s="3" t="s">
        <v>210</v>
      </c>
      <c r="B68" s="5" t="s">
        <v>13</v>
      </c>
      <c r="C68" s="5" t="s">
        <v>15</v>
      </c>
      <c r="D68" s="6">
        <v>1</v>
      </c>
      <c r="E68" s="7" t="s">
        <v>0</v>
      </c>
      <c r="F68" s="13" t="s">
        <v>1686</v>
      </c>
      <c r="H68" s="3" t="s">
        <v>44</v>
      </c>
      <c r="M68" s="3" t="s">
        <v>191</v>
      </c>
      <c r="Q68" s="7" t="s">
        <v>1666</v>
      </c>
      <c r="R68" s="7" t="s">
        <v>1692</v>
      </c>
      <c r="W68" s="7" t="s">
        <v>224</v>
      </c>
      <c r="X68" s="6" t="s">
        <v>223</v>
      </c>
      <c r="Y68" s="8" t="s">
        <v>221</v>
      </c>
    </row>
    <row r="69" spans="1:25" x14ac:dyDescent="0.3">
      <c r="A69" s="3" t="s">
        <v>228</v>
      </c>
      <c r="B69" s="5" t="s">
        <v>12</v>
      </c>
      <c r="C69" s="5" t="s">
        <v>1</v>
      </c>
      <c r="D69" s="6">
        <v>1</v>
      </c>
      <c r="E69" s="7" t="s">
        <v>0</v>
      </c>
      <c r="F69" s="13" t="s">
        <v>1681</v>
      </c>
      <c r="H69" s="3" t="s">
        <v>1442</v>
      </c>
      <c r="I69" s="3" t="s">
        <v>1455</v>
      </c>
      <c r="M69" s="3" t="s">
        <v>46</v>
      </c>
      <c r="N69" s="21" t="s">
        <v>1452</v>
      </c>
      <c r="O69" s="21"/>
      <c r="P69" s="21"/>
      <c r="Q69" s="7" t="s">
        <v>1668</v>
      </c>
      <c r="R69" s="7"/>
      <c r="W69" s="7" t="s">
        <v>1463</v>
      </c>
      <c r="X69" s="6" t="s">
        <v>1464</v>
      </c>
      <c r="Y69" s="8"/>
    </row>
    <row r="70" spans="1:25" x14ac:dyDescent="0.3">
      <c r="A70" s="3" t="s">
        <v>229</v>
      </c>
      <c r="B70" s="5" t="s">
        <v>12</v>
      </c>
      <c r="C70" s="5" t="s">
        <v>1</v>
      </c>
      <c r="D70" s="6">
        <v>1</v>
      </c>
      <c r="E70" s="7" t="s">
        <v>0</v>
      </c>
      <c r="F70" s="13" t="s">
        <v>1681</v>
      </c>
      <c r="K70" s="3" t="s">
        <v>1454</v>
      </c>
      <c r="M70" s="3" t="s">
        <v>46</v>
      </c>
      <c r="N70" s="21"/>
      <c r="O70" s="21"/>
      <c r="P70" s="21" t="s">
        <v>1453</v>
      </c>
      <c r="Q70" s="7" t="s">
        <v>1669</v>
      </c>
      <c r="R70" s="7"/>
      <c r="W70" s="7" t="s">
        <v>1463</v>
      </c>
      <c r="X70" s="6" t="s">
        <v>1464</v>
      </c>
      <c r="Y70" s="8"/>
    </row>
    <row r="71" spans="1:25" x14ac:dyDescent="0.3">
      <c r="A71" s="3" t="s">
        <v>230</v>
      </c>
      <c r="B71" s="5" t="s">
        <v>12</v>
      </c>
      <c r="C71" s="5" t="s">
        <v>1</v>
      </c>
      <c r="D71" s="6">
        <v>1</v>
      </c>
      <c r="E71" s="7" t="s">
        <v>0</v>
      </c>
      <c r="F71" s="13" t="s">
        <v>1681</v>
      </c>
      <c r="J71" s="3" t="s">
        <v>1456</v>
      </c>
      <c r="N71" s="21"/>
      <c r="O71" s="21" t="s">
        <v>1801</v>
      </c>
      <c r="P71" s="21"/>
      <c r="Q71" s="7" t="s">
        <v>1669</v>
      </c>
      <c r="R71" s="7"/>
      <c r="W71" s="7" t="s">
        <v>1463</v>
      </c>
      <c r="X71" s="6" t="s">
        <v>1464</v>
      </c>
      <c r="Y71" s="8"/>
    </row>
    <row r="72" spans="1:25" x14ac:dyDescent="0.3">
      <c r="A72" s="3" t="s">
        <v>231</v>
      </c>
      <c r="B72" s="5" t="s">
        <v>12</v>
      </c>
      <c r="C72" s="5" t="s">
        <v>1</v>
      </c>
      <c r="D72" s="6">
        <v>1</v>
      </c>
      <c r="E72" s="7" t="s">
        <v>0</v>
      </c>
      <c r="F72" s="13" t="s">
        <v>1680</v>
      </c>
      <c r="H72" s="3" t="s">
        <v>1443</v>
      </c>
      <c r="I72" s="3" t="s">
        <v>1445</v>
      </c>
      <c r="M72" s="3" t="s">
        <v>45</v>
      </c>
      <c r="N72" s="21" t="s">
        <v>1444</v>
      </c>
      <c r="O72" s="21"/>
      <c r="P72" s="21"/>
      <c r="Q72" s="7" t="s">
        <v>1668</v>
      </c>
      <c r="R72" s="7"/>
      <c r="W72" s="7" t="s">
        <v>1463</v>
      </c>
      <c r="X72" s="6" t="s">
        <v>1464</v>
      </c>
      <c r="Y72" s="8"/>
    </row>
    <row r="73" spans="1:25" x14ac:dyDescent="0.3">
      <c r="A73" s="3" t="s">
        <v>232</v>
      </c>
      <c r="B73" s="5" t="s">
        <v>12</v>
      </c>
      <c r="C73" s="5" t="s">
        <v>1</v>
      </c>
      <c r="D73" s="6">
        <v>1</v>
      </c>
      <c r="E73" s="7" t="s">
        <v>0</v>
      </c>
      <c r="F73" s="13" t="s">
        <v>1680</v>
      </c>
      <c r="K73" s="3" t="s">
        <v>1447</v>
      </c>
      <c r="M73" s="3" t="s">
        <v>45</v>
      </c>
      <c r="N73" s="21"/>
      <c r="O73" s="21"/>
      <c r="P73" s="21" t="s">
        <v>1446</v>
      </c>
      <c r="Q73" s="7" t="s">
        <v>1669</v>
      </c>
      <c r="R73" s="7"/>
      <c r="W73" s="7" t="s">
        <v>1463</v>
      </c>
      <c r="X73" s="6" t="s">
        <v>1464</v>
      </c>
      <c r="Y73" s="8"/>
    </row>
    <row r="74" spans="1:25" x14ac:dyDescent="0.3">
      <c r="A74" s="3" t="s">
        <v>233</v>
      </c>
      <c r="B74" s="5" t="s">
        <v>12</v>
      </c>
      <c r="C74" s="5" t="s">
        <v>1</v>
      </c>
      <c r="D74" s="6">
        <v>1</v>
      </c>
      <c r="E74" s="7" t="s">
        <v>0</v>
      </c>
      <c r="F74" s="13" t="s">
        <v>1680</v>
      </c>
      <c r="K74" s="3" t="s">
        <v>1449</v>
      </c>
      <c r="M74" s="3" t="s">
        <v>45</v>
      </c>
      <c r="N74" s="21"/>
      <c r="O74" s="21"/>
      <c r="P74" s="21" t="s">
        <v>1448</v>
      </c>
      <c r="Q74" s="7" t="s">
        <v>1669</v>
      </c>
      <c r="R74" s="7"/>
      <c r="W74" s="7" t="s">
        <v>1463</v>
      </c>
      <c r="X74" s="6" t="s">
        <v>1464</v>
      </c>
      <c r="Y74" s="8"/>
    </row>
    <row r="75" spans="1:25" x14ac:dyDescent="0.3">
      <c r="A75" s="3" t="s">
        <v>234</v>
      </c>
      <c r="B75" s="5" t="s">
        <v>12</v>
      </c>
      <c r="C75" s="5" t="s">
        <v>1</v>
      </c>
      <c r="D75" s="6">
        <v>1</v>
      </c>
      <c r="E75" s="7" t="s">
        <v>0</v>
      </c>
      <c r="F75" s="13" t="s">
        <v>1680</v>
      </c>
      <c r="J75" s="3" t="s">
        <v>1451</v>
      </c>
      <c r="N75" s="21"/>
      <c r="O75" s="21" t="s">
        <v>1450</v>
      </c>
      <c r="P75" s="21"/>
      <c r="Q75" s="7" t="s">
        <v>1670</v>
      </c>
      <c r="R75" s="7"/>
      <c r="W75" s="7" t="s">
        <v>1463</v>
      </c>
      <c r="X75" s="6" t="s">
        <v>1464</v>
      </c>
      <c r="Y75" s="8"/>
    </row>
    <row r="76" spans="1:25" x14ac:dyDescent="0.3">
      <c r="A76" s="3" t="s">
        <v>235</v>
      </c>
      <c r="B76" s="5" t="s">
        <v>12</v>
      </c>
      <c r="C76" s="5" t="s">
        <v>1</v>
      </c>
      <c r="D76" s="6">
        <v>1</v>
      </c>
      <c r="E76" s="7" t="s">
        <v>0</v>
      </c>
      <c r="F76" s="13" t="s">
        <v>1685</v>
      </c>
      <c r="J76" s="3" t="s">
        <v>1458</v>
      </c>
      <c r="N76" s="21"/>
      <c r="O76" s="21" t="s">
        <v>1457</v>
      </c>
      <c r="P76" s="21"/>
      <c r="Q76" s="7" t="s">
        <v>1670</v>
      </c>
      <c r="R76" s="7"/>
      <c r="W76" s="7" t="s">
        <v>1463</v>
      </c>
      <c r="X76" s="6" t="s">
        <v>1464</v>
      </c>
      <c r="Y76" s="8"/>
    </row>
    <row r="77" spans="1:25" x14ac:dyDescent="0.3">
      <c r="A77" s="3" t="s">
        <v>236</v>
      </c>
      <c r="B77" s="5" t="s">
        <v>12</v>
      </c>
      <c r="C77" s="5" t="s">
        <v>1</v>
      </c>
      <c r="D77" s="6">
        <v>1</v>
      </c>
      <c r="E77" s="7" t="s">
        <v>0</v>
      </c>
      <c r="F77" s="13" t="s">
        <v>1685</v>
      </c>
      <c r="J77" s="3" t="s">
        <v>1460</v>
      </c>
      <c r="N77" s="21"/>
      <c r="O77" s="21" t="s">
        <v>1459</v>
      </c>
      <c r="P77" s="21"/>
      <c r="Q77" s="7" t="s">
        <v>1670</v>
      </c>
      <c r="R77" s="7"/>
      <c r="W77" s="7" t="s">
        <v>1463</v>
      </c>
      <c r="X77" s="6" t="s">
        <v>1464</v>
      </c>
      <c r="Y77" s="8"/>
    </row>
    <row r="78" spans="1:25" x14ac:dyDescent="0.3">
      <c r="A78" s="3" t="s">
        <v>237</v>
      </c>
      <c r="B78" s="5" t="s">
        <v>12</v>
      </c>
      <c r="C78" s="5" t="s">
        <v>1</v>
      </c>
      <c r="D78" s="6">
        <v>1</v>
      </c>
      <c r="E78" s="7" t="s">
        <v>0</v>
      </c>
      <c r="F78" s="13" t="s">
        <v>1680</v>
      </c>
      <c r="J78" s="3" t="s">
        <v>1462</v>
      </c>
      <c r="N78" s="21"/>
      <c r="O78" s="21" t="s">
        <v>1461</v>
      </c>
      <c r="P78" s="21"/>
      <c r="Q78" s="7" t="s">
        <v>1670</v>
      </c>
      <c r="R78" s="7"/>
      <c r="W78" s="7" t="s">
        <v>1463</v>
      </c>
      <c r="X78" s="6" t="s">
        <v>1464</v>
      </c>
      <c r="Y78" s="8"/>
    </row>
    <row r="79" spans="1:25" ht="24" x14ac:dyDescent="0.3">
      <c r="A79" s="3" t="s">
        <v>238</v>
      </c>
      <c r="B79" s="5" t="s">
        <v>12</v>
      </c>
      <c r="C79" s="5" t="s">
        <v>1</v>
      </c>
      <c r="D79" s="6">
        <v>1</v>
      </c>
      <c r="E79" s="7" t="s">
        <v>0</v>
      </c>
      <c r="F79" s="13" t="s">
        <v>1682</v>
      </c>
      <c r="H79" s="3" t="s">
        <v>1465</v>
      </c>
      <c r="K79" s="3" t="s">
        <v>1506</v>
      </c>
      <c r="M79" s="3" t="str">
        <f>HYPERLINK("[FB_Q1_20240422.xlsx]Morpha1!A1","Morpha1")</f>
        <v>Morpha1</v>
      </c>
      <c r="N79" s="21"/>
      <c r="O79" s="21"/>
      <c r="P79" s="21" t="s">
        <v>1505</v>
      </c>
      <c r="Q79" s="7" t="s">
        <v>1669</v>
      </c>
      <c r="R79" s="7"/>
      <c r="W79" s="7" t="s">
        <v>1463</v>
      </c>
      <c r="X79" s="6" t="s">
        <v>1464</v>
      </c>
      <c r="Y79" s="8" t="s">
        <v>1507</v>
      </c>
    </row>
    <row r="80" spans="1:25" x14ac:dyDescent="0.3">
      <c r="A80" s="3" t="s">
        <v>239</v>
      </c>
      <c r="B80" s="5" t="s">
        <v>12</v>
      </c>
      <c r="C80" s="5" t="s">
        <v>1</v>
      </c>
      <c r="D80" s="6">
        <v>1</v>
      </c>
      <c r="E80" s="7" t="s">
        <v>0</v>
      </c>
      <c r="F80" s="13" t="s">
        <v>1682</v>
      </c>
      <c r="H80" s="3" t="s">
        <v>1466</v>
      </c>
      <c r="M80" s="3" t="str">
        <f>HYPERLINK("[FB_Q1_20240422.xlsx]Morpha2!A1","Morpha2")</f>
        <v>Morpha2</v>
      </c>
      <c r="N80" s="21"/>
      <c r="O80" s="21"/>
      <c r="P80" s="21"/>
      <c r="Q80" s="7" t="s">
        <v>1669</v>
      </c>
      <c r="R80" s="7"/>
      <c r="W80" s="7"/>
      <c r="Y80" s="8"/>
    </row>
    <row r="81" spans="1:25" x14ac:dyDescent="0.3">
      <c r="A81" s="3" t="s">
        <v>240</v>
      </c>
      <c r="B81" s="5" t="s">
        <v>12</v>
      </c>
      <c r="C81" s="5" t="s">
        <v>1</v>
      </c>
      <c r="D81" s="6">
        <v>1</v>
      </c>
      <c r="E81" s="7" t="s">
        <v>0</v>
      </c>
      <c r="F81" s="13" t="s">
        <v>1682</v>
      </c>
      <c r="H81" s="3" t="s">
        <v>1467</v>
      </c>
      <c r="M81" s="3" t="str">
        <f>HYPERLINK("[FB_Q1_20240422.xlsx]Morpha3!A1","Morpha3")</f>
        <v>Morpha3</v>
      </c>
      <c r="N81" s="21"/>
      <c r="O81" s="21"/>
      <c r="P81" s="21"/>
      <c r="Q81" s="7" t="s">
        <v>1669</v>
      </c>
      <c r="R81" s="7"/>
      <c r="W81" s="7"/>
      <c r="Y81" s="8"/>
    </row>
    <row r="82" spans="1:25" x14ac:dyDescent="0.3">
      <c r="A82" s="3" t="s">
        <v>241</v>
      </c>
      <c r="B82" s="5" t="s">
        <v>12</v>
      </c>
      <c r="C82" s="5" t="s">
        <v>1</v>
      </c>
      <c r="D82" s="6">
        <v>1</v>
      </c>
      <c r="E82" s="7" t="s">
        <v>0</v>
      </c>
      <c r="F82" s="13" t="s">
        <v>1682</v>
      </c>
      <c r="H82" s="3" t="s">
        <v>1468</v>
      </c>
      <c r="M82" s="3" t="str">
        <f>HYPERLINK("[FB_Q1_20240422.xlsx]Morpha4!A1","Morpha4")</f>
        <v>Morpha4</v>
      </c>
      <c r="N82" s="21"/>
      <c r="O82" s="21"/>
      <c r="P82" s="21"/>
      <c r="Q82" s="7" t="s">
        <v>1669</v>
      </c>
      <c r="R82" s="7"/>
      <c r="W82" s="7"/>
      <c r="Y82" s="8"/>
    </row>
    <row r="83" spans="1:25" x14ac:dyDescent="0.3">
      <c r="A83" s="3" t="s">
        <v>242</v>
      </c>
      <c r="B83" s="5" t="s">
        <v>12</v>
      </c>
      <c r="C83" s="5" t="s">
        <v>1</v>
      </c>
      <c r="D83" s="6">
        <v>1</v>
      </c>
      <c r="E83" s="7" t="s">
        <v>0</v>
      </c>
      <c r="F83" s="13" t="s">
        <v>1682</v>
      </c>
      <c r="H83" s="3" t="s">
        <v>1469</v>
      </c>
      <c r="M83" s="3" t="str">
        <f>HYPERLINK("[FB_Q1_20240422.xlsx]Morpha5!A1","Morpha5")</f>
        <v>Morpha5</v>
      </c>
      <c r="N83" s="21"/>
      <c r="O83" s="21"/>
      <c r="P83" s="21"/>
      <c r="Q83" s="7" t="s">
        <v>1669</v>
      </c>
      <c r="R83" s="7"/>
      <c r="W83" s="7"/>
      <c r="Y83" s="8"/>
    </row>
    <row r="84" spans="1:25" x14ac:dyDescent="0.3">
      <c r="A84" s="3" t="s">
        <v>243</v>
      </c>
      <c r="B84" s="5" t="s">
        <v>12</v>
      </c>
      <c r="C84" s="5" t="s">
        <v>1</v>
      </c>
      <c r="D84" s="6">
        <v>1</v>
      </c>
      <c r="E84" s="7" t="s">
        <v>0</v>
      </c>
      <c r="F84" s="13" t="s">
        <v>1682</v>
      </c>
      <c r="H84" s="3" t="s">
        <v>1470</v>
      </c>
      <c r="M84" s="3" t="str">
        <f>HYPERLINK("[FB_Q1_20240422.xlsx]Morpha6!A1","Morpha6")</f>
        <v>Morpha6</v>
      </c>
      <c r="N84" s="21"/>
      <c r="O84" s="21"/>
      <c r="P84" s="21"/>
      <c r="Q84" s="7" t="s">
        <v>1669</v>
      </c>
      <c r="R84" s="7"/>
      <c r="W84" s="7"/>
      <c r="Y84" s="8"/>
    </row>
    <row r="85" spans="1:25" x14ac:dyDescent="0.3">
      <c r="A85" s="3" t="s">
        <v>244</v>
      </c>
      <c r="B85" s="5" t="s">
        <v>12</v>
      </c>
      <c r="C85" s="5" t="s">
        <v>1</v>
      </c>
      <c r="D85" s="6">
        <v>1</v>
      </c>
      <c r="E85" s="7" t="s">
        <v>0</v>
      </c>
      <c r="F85" s="13" t="s">
        <v>1682</v>
      </c>
      <c r="H85" s="3" t="s">
        <v>1471</v>
      </c>
      <c r="M85" s="3" t="str">
        <f>HYPERLINK("[FB_Q1_20240422.xlsx]Morpha7!A1","Morpha7")</f>
        <v>Morpha7</v>
      </c>
      <c r="N85" s="21"/>
      <c r="O85" s="21"/>
      <c r="P85" s="21"/>
      <c r="Q85" s="7" t="s">
        <v>1669</v>
      </c>
      <c r="R85" s="7"/>
      <c r="W85" s="7"/>
      <c r="Y85" s="8"/>
    </row>
    <row r="86" spans="1:25" x14ac:dyDescent="0.3">
      <c r="A86" s="3" t="s">
        <v>245</v>
      </c>
      <c r="B86" s="5" t="s">
        <v>12</v>
      </c>
      <c r="C86" s="5" t="s">
        <v>1</v>
      </c>
      <c r="D86" s="6">
        <v>1</v>
      </c>
      <c r="E86" s="7" t="s">
        <v>0</v>
      </c>
      <c r="F86" s="13" t="s">
        <v>1682</v>
      </c>
      <c r="H86" s="3" t="s">
        <v>1472</v>
      </c>
      <c r="M86" s="3" t="str">
        <f>HYPERLINK("[FB_Q1_20240422.xlsx]Morpha8!A1","Morpha8")</f>
        <v>Morpha8</v>
      </c>
      <c r="N86" s="21"/>
      <c r="O86" s="21"/>
      <c r="P86" s="21"/>
      <c r="Q86" s="7" t="s">
        <v>1669</v>
      </c>
      <c r="R86" s="7"/>
      <c r="W86" s="7"/>
      <c r="Y86" s="8"/>
    </row>
    <row r="87" spans="1:25" ht="24" x14ac:dyDescent="0.3">
      <c r="A87" s="3" t="s">
        <v>246</v>
      </c>
      <c r="B87" s="5" t="s">
        <v>12</v>
      </c>
      <c r="C87" s="5" t="s">
        <v>1</v>
      </c>
      <c r="D87" s="6">
        <v>1</v>
      </c>
      <c r="E87" s="7" t="s">
        <v>0</v>
      </c>
      <c r="F87" s="13" t="s">
        <v>1682</v>
      </c>
      <c r="H87" s="3" t="s">
        <v>1473</v>
      </c>
      <c r="K87" s="3" t="s">
        <v>1511</v>
      </c>
      <c r="M87" s="3" t="str">
        <f>HYPERLINK("[FB_Q1_20240422.xlsx]Morphb1!A1","Morphb1")</f>
        <v>Morphb1</v>
      </c>
      <c r="N87" s="21"/>
      <c r="O87" s="21"/>
      <c r="P87" s="21" t="s">
        <v>1508</v>
      </c>
      <c r="Q87" s="7" t="s">
        <v>1669</v>
      </c>
      <c r="R87" s="7"/>
      <c r="W87" s="7" t="s">
        <v>1463</v>
      </c>
      <c r="X87" s="6" t="s">
        <v>1464</v>
      </c>
      <c r="Y87" s="8" t="s">
        <v>1507</v>
      </c>
    </row>
    <row r="88" spans="1:25" x14ac:dyDescent="0.3">
      <c r="A88" s="3" t="s">
        <v>247</v>
      </c>
      <c r="B88" s="5" t="s">
        <v>12</v>
      </c>
      <c r="C88" s="5" t="s">
        <v>1</v>
      </c>
      <c r="D88" s="6">
        <v>1</v>
      </c>
      <c r="E88" s="7" t="s">
        <v>0</v>
      </c>
      <c r="F88" s="13" t="s">
        <v>1682</v>
      </c>
      <c r="H88" s="3" t="s">
        <v>1474</v>
      </c>
      <c r="M88" s="3" t="str">
        <f>HYPERLINK("[FB_Q1_20240422.xlsx]Morphb2!A1","Morphb2")</f>
        <v>Morphb2</v>
      </c>
      <c r="N88" s="21"/>
      <c r="O88" s="21"/>
      <c r="P88" s="21"/>
      <c r="Q88" s="7" t="s">
        <v>1669</v>
      </c>
      <c r="R88" s="7"/>
      <c r="W88" s="7"/>
      <c r="Y88" s="8"/>
    </row>
    <row r="89" spans="1:25" x14ac:dyDescent="0.3">
      <c r="A89" s="3" t="s">
        <v>248</v>
      </c>
      <c r="B89" s="5" t="s">
        <v>12</v>
      </c>
      <c r="C89" s="5" t="s">
        <v>1</v>
      </c>
      <c r="D89" s="6">
        <v>1</v>
      </c>
      <c r="E89" s="7" t="s">
        <v>0</v>
      </c>
      <c r="F89" s="13" t="s">
        <v>1682</v>
      </c>
      <c r="H89" s="3" t="s">
        <v>1475</v>
      </c>
      <c r="M89" s="3" t="str">
        <f>HYPERLINK("[FB_Q1_20240422.xlsx]Morphb3!A1","Morphb3")</f>
        <v>Morphb3</v>
      </c>
      <c r="N89" s="21"/>
      <c r="O89" s="21"/>
      <c r="P89" s="21"/>
      <c r="Q89" s="7" t="s">
        <v>1669</v>
      </c>
      <c r="R89" s="7"/>
      <c r="W89" s="7"/>
      <c r="Y89" s="8"/>
    </row>
    <row r="90" spans="1:25" x14ac:dyDescent="0.3">
      <c r="A90" s="3" t="s">
        <v>249</v>
      </c>
      <c r="B90" s="5" t="s">
        <v>12</v>
      </c>
      <c r="C90" s="5" t="s">
        <v>1</v>
      </c>
      <c r="D90" s="6">
        <v>1</v>
      </c>
      <c r="E90" s="7" t="s">
        <v>0</v>
      </c>
      <c r="F90" s="13" t="s">
        <v>1682</v>
      </c>
      <c r="H90" s="3" t="s">
        <v>1476</v>
      </c>
      <c r="M90" s="3" t="str">
        <f>HYPERLINK("[FB_Q1_20240422.xlsx]Morphb4!A1","Morphb4")</f>
        <v>Morphb4</v>
      </c>
      <c r="N90" s="21"/>
      <c r="O90" s="21"/>
      <c r="P90" s="21"/>
      <c r="Q90" s="7" t="s">
        <v>1669</v>
      </c>
      <c r="R90" s="7"/>
      <c r="W90" s="7"/>
      <c r="Y90" s="8"/>
    </row>
    <row r="91" spans="1:25" x14ac:dyDescent="0.3">
      <c r="A91" s="3" t="s">
        <v>250</v>
      </c>
      <c r="B91" s="5" t="s">
        <v>12</v>
      </c>
      <c r="C91" s="5" t="s">
        <v>1</v>
      </c>
      <c r="D91" s="6">
        <v>1</v>
      </c>
      <c r="E91" s="7" t="s">
        <v>0</v>
      </c>
      <c r="F91" s="13" t="s">
        <v>1682</v>
      </c>
      <c r="H91" s="3" t="s">
        <v>1477</v>
      </c>
      <c r="M91" s="3" t="str">
        <f>HYPERLINK("[FB_Q1_20240422.xlsx]Morphb5!A1","Morphb5")</f>
        <v>Morphb5</v>
      </c>
      <c r="N91" s="21"/>
      <c r="O91" s="21"/>
      <c r="P91" s="21"/>
      <c r="Q91" s="7" t="s">
        <v>1669</v>
      </c>
      <c r="R91" s="7"/>
      <c r="W91" s="7"/>
      <c r="Y91" s="8"/>
    </row>
    <row r="92" spans="1:25" x14ac:dyDescent="0.3">
      <c r="A92" s="3" t="s">
        <v>251</v>
      </c>
      <c r="B92" s="5" t="s">
        <v>12</v>
      </c>
      <c r="C92" s="5" t="s">
        <v>1</v>
      </c>
      <c r="D92" s="6">
        <v>1</v>
      </c>
      <c r="E92" s="7" t="s">
        <v>0</v>
      </c>
      <c r="F92" s="13" t="s">
        <v>1682</v>
      </c>
      <c r="H92" s="3" t="s">
        <v>1478</v>
      </c>
      <c r="M92" s="3" t="str">
        <f>HYPERLINK("[FB_Q1_20240422.xlsx]Morphb6!A1","Morphb6")</f>
        <v>Morphb6</v>
      </c>
      <c r="N92" s="21"/>
      <c r="O92" s="21"/>
      <c r="P92" s="21"/>
      <c r="Q92" s="7" t="s">
        <v>1669</v>
      </c>
      <c r="R92" s="7"/>
      <c r="W92" s="7"/>
      <c r="Y92" s="8"/>
    </row>
    <row r="93" spans="1:25" x14ac:dyDescent="0.3">
      <c r="A93" s="3" t="s">
        <v>252</v>
      </c>
      <c r="B93" s="5" t="s">
        <v>12</v>
      </c>
      <c r="C93" s="5" t="s">
        <v>1</v>
      </c>
      <c r="D93" s="6">
        <v>1</v>
      </c>
      <c r="E93" s="7" t="s">
        <v>0</v>
      </c>
      <c r="F93" s="13" t="s">
        <v>1682</v>
      </c>
      <c r="H93" s="3" t="s">
        <v>1479</v>
      </c>
      <c r="M93" s="3" t="str">
        <f>HYPERLINK("[FB_Q1_20240422.xlsx]Morphb7!A1","Morphb7")</f>
        <v>Morphb7</v>
      </c>
      <c r="N93" s="21"/>
      <c r="O93" s="21"/>
      <c r="P93" s="21"/>
      <c r="Q93" s="7" t="s">
        <v>1669</v>
      </c>
      <c r="R93" s="7"/>
      <c r="W93" s="7"/>
      <c r="Y93" s="8"/>
    </row>
    <row r="94" spans="1:25" x14ac:dyDescent="0.3">
      <c r="A94" s="3" t="s">
        <v>253</v>
      </c>
      <c r="B94" s="5" t="s">
        <v>12</v>
      </c>
      <c r="C94" s="5" t="s">
        <v>1</v>
      </c>
      <c r="D94" s="6">
        <v>1</v>
      </c>
      <c r="E94" s="7" t="s">
        <v>0</v>
      </c>
      <c r="F94" s="13" t="s">
        <v>1682</v>
      </c>
      <c r="H94" s="3" t="s">
        <v>1480</v>
      </c>
      <c r="M94" s="3" t="str">
        <f>HYPERLINK("[FB_Q1_20240422.xlsx]Morphb8!A1","Morphb8")</f>
        <v>Morphb8</v>
      </c>
      <c r="N94" s="21"/>
      <c r="O94" s="21"/>
      <c r="P94" s="21"/>
      <c r="Q94" s="7" t="s">
        <v>1669</v>
      </c>
      <c r="R94" s="7"/>
      <c r="W94" s="7"/>
      <c r="Y94" s="8"/>
    </row>
    <row r="95" spans="1:25" ht="24" x14ac:dyDescent="0.3">
      <c r="A95" s="3" t="s">
        <v>254</v>
      </c>
      <c r="B95" s="5" t="s">
        <v>12</v>
      </c>
      <c r="C95" s="5" t="s">
        <v>1</v>
      </c>
      <c r="D95" s="6">
        <v>1</v>
      </c>
      <c r="E95" s="7" t="s">
        <v>0</v>
      </c>
      <c r="F95" s="13" t="s">
        <v>1682</v>
      </c>
      <c r="H95" s="3" t="s">
        <v>1481</v>
      </c>
      <c r="K95" s="3" t="s">
        <v>1512</v>
      </c>
      <c r="M95" s="3" t="str">
        <f>HYPERLINK("[FB_Q1_20240422.xlsx]Morphc1!A1","Morphc1")</f>
        <v>Morphc1</v>
      </c>
      <c r="N95" s="21"/>
      <c r="O95" s="21"/>
      <c r="P95" s="21" t="s">
        <v>1509</v>
      </c>
      <c r="Q95" s="7" t="s">
        <v>1669</v>
      </c>
      <c r="R95" s="7"/>
      <c r="W95" s="7" t="s">
        <v>1463</v>
      </c>
      <c r="X95" s="6" t="s">
        <v>1464</v>
      </c>
      <c r="Y95" s="8" t="s">
        <v>1507</v>
      </c>
    </row>
    <row r="96" spans="1:25" x14ac:dyDescent="0.3">
      <c r="A96" s="3" t="s">
        <v>255</v>
      </c>
      <c r="B96" s="5" t="s">
        <v>12</v>
      </c>
      <c r="C96" s="5" t="s">
        <v>1</v>
      </c>
      <c r="D96" s="6">
        <v>1</v>
      </c>
      <c r="E96" s="7" t="s">
        <v>0</v>
      </c>
      <c r="F96" s="13" t="s">
        <v>1682</v>
      </c>
      <c r="H96" s="3" t="s">
        <v>1482</v>
      </c>
      <c r="M96" s="3" t="str">
        <f>HYPERLINK("[FB_Q1_20240422.xlsx]Morphc2!A1","Morphc2")</f>
        <v>Morphc2</v>
      </c>
      <c r="N96" s="21"/>
      <c r="O96" s="21"/>
      <c r="P96" s="21"/>
      <c r="Q96" s="7" t="s">
        <v>1669</v>
      </c>
      <c r="R96" s="7"/>
      <c r="W96" s="7"/>
      <c r="Y96" s="8"/>
    </row>
    <row r="97" spans="1:25" x14ac:dyDescent="0.3">
      <c r="A97" s="3" t="s">
        <v>256</v>
      </c>
      <c r="B97" s="5" t="s">
        <v>12</v>
      </c>
      <c r="C97" s="5" t="s">
        <v>1</v>
      </c>
      <c r="D97" s="6">
        <v>1</v>
      </c>
      <c r="E97" s="7" t="s">
        <v>0</v>
      </c>
      <c r="F97" s="13" t="s">
        <v>1682</v>
      </c>
      <c r="H97" s="3" t="s">
        <v>1483</v>
      </c>
      <c r="M97" s="3" t="str">
        <f>HYPERLINK("[FB_Q1_20240422.xlsx]Morphc3!A1","Morphc3")</f>
        <v>Morphc3</v>
      </c>
      <c r="N97" s="21"/>
      <c r="O97" s="21"/>
      <c r="P97" s="21"/>
      <c r="Q97" s="7" t="s">
        <v>1669</v>
      </c>
      <c r="R97" s="7"/>
      <c r="W97" s="7"/>
      <c r="Y97" s="8"/>
    </row>
    <row r="98" spans="1:25" x14ac:dyDescent="0.3">
      <c r="A98" s="3" t="s">
        <v>257</v>
      </c>
      <c r="B98" s="5" t="s">
        <v>12</v>
      </c>
      <c r="C98" s="5" t="s">
        <v>1</v>
      </c>
      <c r="D98" s="6">
        <v>1</v>
      </c>
      <c r="E98" s="7" t="s">
        <v>0</v>
      </c>
      <c r="F98" s="13" t="s">
        <v>1682</v>
      </c>
      <c r="H98" s="3" t="s">
        <v>1484</v>
      </c>
      <c r="M98" s="3" t="str">
        <f>HYPERLINK("[FB_Q1_20240422.xlsx]Morphc4!A1","Morphc4")</f>
        <v>Morphc4</v>
      </c>
      <c r="N98" s="21"/>
      <c r="O98" s="21"/>
      <c r="P98" s="21"/>
      <c r="Q98" s="7" t="s">
        <v>1669</v>
      </c>
      <c r="R98" s="7"/>
      <c r="W98" s="7"/>
      <c r="Y98" s="8"/>
    </row>
    <row r="99" spans="1:25" x14ac:dyDescent="0.3">
      <c r="A99" s="3" t="s">
        <v>258</v>
      </c>
      <c r="B99" s="5" t="s">
        <v>12</v>
      </c>
      <c r="C99" s="5" t="s">
        <v>1</v>
      </c>
      <c r="D99" s="6">
        <v>1</v>
      </c>
      <c r="E99" s="7" t="s">
        <v>0</v>
      </c>
      <c r="F99" s="13" t="s">
        <v>1682</v>
      </c>
      <c r="H99" s="3" t="s">
        <v>1485</v>
      </c>
      <c r="M99" s="3" t="str">
        <f>HYPERLINK("[FB_Q1_20240422.xlsx]Morphc5!A1","Morphc5")</f>
        <v>Morphc5</v>
      </c>
      <c r="N99" s="21"/>
      <c r="O99" s="21"/>
      <c r="P99" s="21"/>
      <c r="Q99" s="7" t="s">
        <v>1669</v>
      </c>
      <c r="R99" s="7"/>
      <c r="W99" s="7"/>
      <c r="Y99" s="8"/>
    </row>
    <row r="100" spans="1:25" x14ac:dyDescent="0.3">
      <c r="A100" s="3" t="s">
        <v>259</v>
      </c>
      <c r="B100" s="5" t="s">
        <v>12</v>
      </c>
      <c r="C100" s="5" t="s">
        <v>1</v>
      </c>
      <c r="D100" s="6">
        <v>1</v>
      </c>
      <c r="E100" s="7" t="s">
        <v>0</v>
      </c>
      <c r="F100" s="13" t="s">
        <v>1682</v>
      </c>
      <c r="H100" s="3" t="s">
        <v>1486</v>
      </c>
      <c r="M100" s="3" t="str">
        <f>HYPERLINK("[FB_Q1_20240422.xlsx]Morphc6!A1","Morphc6")</f>
        <v>Morphc6</v>
      </c>
      <c r="N100" s="21"/>
      <c r="O100" s="21"/>
      <c r="P100" s="21"/>
      <c r="Q100" s="7" t="s">
        <v>1669</v>
      </c>
      <c r="R100" s="7"/>
      <c r="W100" s="7"/>
      <c r="Y100" s="8"/>
    </row>
    <row r="101" spans="1:25" x14ac:dyDescent="0.3">
      <c r="A101" s="3" t="s">
        <v>260</v>
      </c>
      <c r="B101" s="5" t="s">
        <v>12</v>
      </c>
      <c r="C101" s="5" t="s">
        <v>1</v>
      </c>
      <c r="D101" s="6">
        <v>1</v>
      </c>
      <c r="E101" s="7" t="s">
        <v>0</v>
      </c>
      <c r="F101" s="13" t="s">
        <v>1682</v>
      </c>
      <c r="H101" s="3" t="s">
        <v>1487</v>
      </c>
      <c r="M101" s="3" t="str">
        <f>HYPERLINK("[FB_Q1_20240422.xlsx]Morphc7!A1","Morphc7")</f>
        <v>Morphc7</v>
      </c>
      <c r="N101" s="21"/>
      <c r="O101" s="21"/>
      <c r="P101" s="21"/>
      <c r="Q101" s="7" t="s">
        <v>1669</v>
      </c>
      <c r="R101" s="7"/>
      <c r="W101" s="7"/>
      <c r="Y101" s="8"/>
    </row>
    <row r="102" spans="1:25" x14ac:dyDescent="0.3">
      <c r="A102" s="3" t="s">
        <v>261</v>
      </c>
      <c r="B102" s="5" t="s">
        <v>12</v>
      </c>
      <c r="C102" s="5" t="s">
        <v>1</v>
      </c>
      <c r="D102" s="6">
        <v>1</v>
      </c>
      <c r="E102" s="7" t="s">
        <v>0</v>
      </c>
      <c r="F102" s="13" t="s">
        <v>1682</v>
      </c>
      <c r="H102" s="3" t="s">
        <v>1488</v>
      </c>
      <c r="M102" s="3" t="str">
        <f>HYPERLINK("[FB_Q1_20240422.xlsx]Morphc8!A1","Morphc8")</f>
        <v>Morphc8</v>
      </c>
      <c r="N102" s="21"/>
      <c r="O102" s="21"/>
      <c r="P102" s="21"/>
      <c r="Q102" s="7" t="s">
        <v>1669</v>
      </c>
      <c r="R102" s="7"/>
      <c r="W102" s="7"/>
      <c r="Y102" s="8"/>
    </row>
    <row r="103" spans="1:25" ht="24" x14ac:dyDescent="0.3">
      <c r="A103" s="3" t="s">
        <v>262</v>
      </c>
      <c r="B103" s="5" t="s">
        <v>12</v>
      </c>
      <c r="C103" s="5" t="s">
        <v>1</v>
      </c>
      <c r="D103" s="6">
        <v>1</v>
      </c>
      <c r="E103" s="7" t="s">
        <v>0</v>
      </c>
      <c r="F103" s="13" t="s">
        <v>1682</v>
      </c>
      <c r="H103" s="3" t="s">
        <v>1489</v>
      </c>
      <c r="M103" s="3" t="str">
        <f>HYPERLINK("[FB_Q1_20240422.xlsx]Morphd1!A1","Morphd1")</f>
        <v>Morphd1</v>
      </c>
      <c r="N103" s="21"/>
      <c r="O103" s="21"/>
      <c r="P103" s="21"/>
      <c r="Q103" s="7" t="s">
        <v>1669</v>
      </c>
      <c r="R103" s="7"/>
      <c r="W103" s="7" t="s">
        <v>1463</v>
      </c>
      <c r="X103" s="6" t="s">
        <v>1464</v>
      </c>
      <c r="Y103" s="8" t="s">
        <v>1507</v>
      </c>
    </row>
    <row r="104" spans="1:25" x14ac:dyDescent="0.3">
      <c r="A104" s="3" t="s">
        <v>263</v>
      </c>
      <c r="B104" s="5" t="s">
        <v>12</v>
      </c>
      <c r="C104" s="5" t="s">
        <v>1</v>
      </c>
      <c r="D104" s="6">
        <v>1</v>
      </c>
      <c r="E104" s="7" t="s">
        <v>0</v>
      </c>
      <c r="F104" s="13" t="s">
        <v>1682</v>
      </c>
      <c r="H104" s="3" t="s">
        <v>1490</v>
      </c>
      <c r="M104" s="3" t="str">
        <f>HYPERLINK("[FB_Q1_20240422.xlsx]Morphd2!A1","Morphd2")</f>
        <v>Morphd2</v>
      </c>
      <c r="N104" s="21"/>
      <c r="O104" s="21"/>
      <c r="P104" s="21"/>
      <c r="Q104" s="7" t="s">
        <v>1669</v>
      </c>
      <c r="R104" s="7"/>
      <c r="W104" s="7"/>
      <c r="Y104" s="8"/>
    </row>
    <row r="105" spans="1:25" x14ac:dyDescent="0.3">
      <c r="A105" s="3" t="s">
        <v>264</v>
      </c>
      <c r="B105" s="5" t="s">
        <v>12</v>
      </c>
      <c r="C105" s="5" t="s">
        <v>1</v>
      </c>
      <c r="D105" s="6">
        <v>1</v>
      </c>
      <c r="E105" s="7" t="s">
        <v>0</v>
      </c>
      <c r="F105" s="13" t="s">
        <v>1682</v>
      </c>
      <c r="H105" s="3" t="s">
        <v>1491</v>
      </c>
      <c r="M105" s="3" t="str">
        <f>HYPERLINK("[FB_Q1_20240422.xlsx]Morphd3!A1","Morphd3")</f>
        <v>Morphd3</v>
      </c>
      <c r="N105" s="21"/>
      <c r="O105" s="21"/>
      <c r="P105" s="21"/>
      <c r="Q105" s="7" t="s">
        <v>1669</v>
      </c>
      <c r="R105" s="7"/>
      <c r="W105" s="7"/>
      <c r="Y105" s="8"/>
    </row>
    <row r="106" spans="1:25" x14ac:dyDescent="0.3">
      <c r="A106" s="3" t="s">
        <v>265</v>
      </c>
      <c r="B106" s="5" t="s">
        <v>12</v>
      </c>
      <c r="C106" s="5" t="s">
        <v>1</v>
      </c>
      <c r="D106" s="6">
        <v>1</v>
      </c>
      <c r="E106" s="7" t="s">
        <v>0</v>
      </c>
      <c r="F106" s="13" t="s">
        <v>1682</v>
      </c>
      <c r="H106" s="3" t="s">
        <v>1492</v>
      </c>
      <c r="M106" s="3" t="str">
        <f>HYPERLINK("[FB_Q1_20240422.xlsx]Morphd4!A1","Morphd4")</f>
        <v>Morphd4</v>
      </c>
      <c r="N106" s="21"/>
      <c r="O106" s="21"/>
      <c r="P106" s="21"/>
      <c r="Q106" s="7" t="s">
        <v>1669</v>
      </c>
      <c r="R106" s="7"/>
      <c r="W106" s="7"/>
      <c r="Y106" s="8"/>
    </row>
    <row r="107" spans="1:25" x14ac:dyDescent="0.3">
      <c r="A107" s="3" t="s">
        <v>266</v>
      </c>
      <c r="B107" s="5" t="s">
        <v>12</v>
      </c>
      <c r="C107" s="5" t="s">
        <v>1</v>
      </c>
      <c r="D107" s="6">
        <v>1</v>
      </c>
      <c r="E107" s="7" t="s">
        <v>0</v>
      </c>
      <c r="F107" s="13" t="s">
        <v>1682</v>
      </c>
      <c r="H107" s="3" t="s">
        <v>1493</v>
      </c>
      <c r="M107" s="3" t="str">
        <f>HYPERLINK("[FB_Q1_20240422.xlsx]Morphd5!A1","Morphd5")</f>
        <v>Morphd5</v>
      </c>
      <c r="N107" s="21"/>
      <c r="O107" s="21"/>
      <c r="P107" s="21"/>
      <c r="Q107" s="7" t="s">
        <v>1669</v>
      </c>
      <c r="R107" s="7"/>
      <c r="W107" s="7"/>
      <c r="Y107" s="8"/>
    </row>
    <row r="108" spans="1:25" x14ac:dyDescent="0.3">
      <c r="A108" s="3" t="s">
        <v>267</v>
      </c>
      <c r="B108" s="5" t="s">
        <v>12</v>
      </c>
      <c r="C108" s="5" t="s">
        <v>1</v>
      </c>
      <c r="D108" s="6">
        <v>1</v>
      </c>
      <c r="E108" s="7" t="s">
        <v>0</v>
      </c>
      <c r="F108" s="13" t="s">
        <v>1682</v>
      </c>
      <c r="H108" s="3" t="s">
        <v>1494</v>
      </c>
      <c r="M108" s="3" t="str">
        <f>HYPERLINK("[FB_Q1_20240422.xlsx]Morphd6!A1","Morphd6")</f>
        <v>Morphd6</v>
      </c>
      <c r="N108" s="21"/>
      <c r="O108" s="21"/>
      <c r="P108" s="21"/>
      <c r="Q108" s="7" t="s">
        <v>1669</v>
      </c>
      <c r="R108" s="7"/>
      <c r="W108" s="7"/>
      <c r="Y108" s="8"/>
    </row>
    <row r="109" spans="1:25" x14ac:dyDescent="0.3">
      <c r="A109" s="3" t="s">
        <v>268</v>
      </c>
      <c r="B109" s="5" t="s">
        <v>12</v>
      </c>
      <c r="C109" s="5" t="s">
        <v>1</v>
      </c>
      <c r="D109" s="6">
        <v>1</v>
      </c>
      <c r="E109" s="7" t="s">
        <v>0</v>
      </c>
      <c r="F109" s="13" t="s">
        <v>1682</v>
      </c>
      <c r="H109" s="3" t="s">
        <v>1495</v>
      </c>
      <c r="M109" s="3" t="str">
        <f>HYPERLINK("[FB_Q1_20240422.xlsx]Morphd7!A1","Morphd7")</f>
        <v>Morphd7</v>
      </c>
      <c r="N109" s="21"/>
      <c r="O109" s="21"/>
      <c r="P109" s="21"/>
      <c r="Q109" s="7" t="s">
        <v>1669</v>
      </c>
      <c r="R109" s="7"/>
      <c r="W109" s="7"/>
      <c r="Y109" s="8"/>
    </row>
    <row r="110" spans="1:25" x14ac:dyDescent="0.3">
      <c r="A110" s="3" t="s">
        <v>269</v>
      </c>
      <c r="B110" s="5" t="s">
        <v>12</v>
      </c>
      <c r="C110" s="5" t="s">
        <v>1</v>
      </c>
      <c r="D110" s="6">
        <v>1</v>
      </c>
      <c r="E110" s="7" t="s">
        <v>0</v>
      </c>
      <c r="F110" s="13" t="s">
        <v>1682</v>
      </c>
      <c r="H110" s="3" t="s">
        <v>1496</v>
      </c>
      <c r="M110" s="3" t="str">
        <f>HYPERLINK("[FB_Q1_20240422.xlsx]Morphd8!A1","Morphd8")</f>
        <v>Morphd8</v>
      </c>
      <c r="N110" s="21"/>
      <c r="O110" s="21"/>
      <c r="P110" s="21"/>
      <c r="Q110" s="7" t="s">
        <v>1669</v>
      </c>
      <c r="R110" s="7"/>
      <c r="W110" s="7"/>
      <c r="Y110" s="8"/>
    </row>
    <row r="111" spans="1:25" ht="24" x14ac:dyDescent="0.3">
      <c r="A111" s="3" t="s">
        <v>270</v>
      </c>
      <c r="B111" s="5" t="s">
        <v>12</v>
      </c>
      <c r="C111" s="5" t="s">
        <v>1</v>
      </c>
      <c r="D111" s="6">
        <v>1</v>
      </c>
      <c r="E111" s="7" t="s">
        <v>0</v>
      </c>
      <c r="F111" s="13" t="s">
        <v>1682</v>
      </c>
      <c r="H111" s="3" t="s">
        <v>1497</v>
      </c>
      <c r="K111" s="3" t="s">
        <v>1513</v>
      </c>
      <c r="M111" s="3" t="str">
        <f>HYPERLINK("[FB_Q1_20240422.xlsx]Morphe1!A1","Morphe1")</f>
        <v>Morphe1</v>
      </c>
      <c r="N111" s="21"/>
      <c r="O111" s="21"/>
      <c r="P111" s="21" t="s">
        <v>1510</v>
      </c>
      <c r="Q111" s="7" t="s">
        <v>1669</v>
      </c>
      <c r="R111" s="7"/>
      <c r="W111" s="7" t="s">
        <v>1463</v>
      </c>
      <c r="X111" s="6" t="s">
        <v>1464</v>
      </c>
      <c r="Y111" s="8" t="s">
        <v>1507</v>
      </c>
    </row>
    <row r="112" spans="1:25" x14ac:dyDescent="0.3">
      <c r="A112" s="3" t="s">
        <v>271</v>
      </c>
      <c r="B112" s="5" t="s">
        <v>12</v>
      </c>
      <c r="C112" s="5" t="s">
        <v>1</v>
      </c>
      <c r="D112" s="6">
        <v>1</v>
      </c>
      <c r="E112" s="7" t="s">
        <v>0</v>
      </c>
      <c r="F112" s="13" t="s">
        <v>1682</v>
      </c>
      <c r="H112" s="3" t="s">
        <v>1498</v>
      </c>
      <c r="M112" s="3" t="str">
        <f>HYPERLINK("[FB_Q1_20240422.xlsx]Morphe2!A1","Morphe2")</f>
        <v>Morphe2</v>
      </c>
      <c r="N112" s="21"/>
      <c r="O112" s="21"/>
      <c r="P112" s="21"/>
      <c r="Q112" s="7" t="s">
        <v>1669</v>
      </c>
      <c r="R112" s="7"/>
      <c r="W112" s="7"/>
      <c r="Y112" s="8"/>
    </row>
    <row r="113" spans="1:25" x14ac:dyDescent="0.3">
      <c r="A113" s="3" t="s">
        <v>272</v>
      </c>
      <c r="B113" s="5" t="s">
        <v>12</v>
      </c>
      <c r="C113" s="5" t="s">
        <v>1</v>
      </c>
      <c r="D113" s="6">
        <v>1</v>
      </c>
      <c r="E113" s="7" t="s">
        <v>0</v>
      </c>
      <c r="F113" s="13" t="s">
        <v>1682</v>
      </c>
      <c r="H113" s="3" t="s">
        <v>1499</v>
      </c>
      <c r="M113" s="3" t="str">
        <f>HYPERLINK("[FB_Q1_20240422.xlsx]Morphe3!A1","Morphe3")</f>
        <v>Morphe3</v>
      </c>
      <c r="N113" s="21"/>
      <c r="O113" s="21"/>
      <c r="P113" s="21"/>
      <c r="Q113" s="7" t="s">
        <v>1669</v>
      </c>
      <c r="R113" s="7"/>
      <c r="W113" s="7"/>
      <c r="Y113" s="8"/>
    </row>
    <row r="114" spans="1:25" x14ac:dyDescent="0.3">
      <c r="A114" s="3" t="s">
        <v>273</v>
      </c>
      <c r="B114" s="5" t="s">
        <v>12</v>
      </c>
      <c r="C114" s="5" t="s">
        <v>1</v>
      </c>
      <c r="D114" s="6">
        <v>1</v>
      </c>
      <c r="E114" s="7" t="s">
        <v>0</v>
      </c>
      <c r="F114" s="13" t="s">
        <v>1682</v>
      </c>
      <c r="H114" s="3" t="s">
        <v>1500</v>
      </c>
      <c r="M114" s="3" t="str">
        <f>HYPERLINK("[FB_Q1_20240422.xlsx]Morphe4!A1","Morphe4")</f>
        <v>Morphe4</v>
      </c>
      <c r="N114" s="21"/>
      <c r="O114" s="21"/>
      <c r="P114" s="21"/>
      <c r="Q114" s="7" t="s">
        <v>1669</v>
      </c>
      <c r="R114" s="7"/>
      <c r="W114" s="7"/>
      <c r="Y114" s="8"/>
    </row>
    <row r="115" spans="1:25" x14ac:dyDescent="0.3">
      <c r="A115" s="3" t="s">
        <v>274</v>
      </c>
      <c r="B115" s="5" t="s">
        <v>12</v>
      </c>
      <c r="C115" s="5" t="s">
        <v>1</v>
      </c>
      <c r="D115" s="6">
        <v>1</v>
      </c>
      <c r="E115" s="7" t="s">
        <v>0</v>
      </c>
      <c r="F115" s="13" t="s">
        <v>1682</v>
      </c>
      <c r="H115" s="3" t="s">
        <v>1501</v>
      </c>
      <c r="M115" s="3" t="str">
        <f>HYPERLINK("[FB_Q1_20240422.xlsx]Morphe5!A1","Morphe5")</f>
        <v>Morphe5</v>
      </c>
      <c r="N115" s="21"/>
      <c r="O115" s="21"/>
      <c r="P115" s="21"/>
      <c r="Q115" s="7" t="s">
        <v>1669</v>
      </c>
      <c r="R115" s="7"/>
      <c r="W115" s="7"/>
      <c r="Y115" s="8"/>
    </row>
    <row r="116" spans="1:25" x14ac:dyDescent="0.3">
      <c r="A116" s="3" t="s">
        <v>275</v>
      </c>
      <c r="B116" s="5" t="s">
        <v>12</v>
      </c>
      <c r="C116" s="5" t="s">
        <v>1</v>
      </c>
      <c r="D116" s="6">
        <v>1</v>
      </c>
      <c r="E116" s="7" t="s">
        <v>0</v>
      </c>
      <c r="F116" s="13" t="s">
        <v>1682</v>
      </c>
      <c r="H116" s="3" t="s">
        <v>1502</v>
      </c>
      <c r="M116" s="3" t="str">
        <f>HYPERLINK("[FB_Q1_20240422.xlsx]Morphe6!A1","Morphe6")</f>
        <v>Morphe6</v>
      </c>
      <c r="N116" s="21"/>
      <c r="O116" s="21"/>
      <c r="P116" s="21"/>
      <c r="Q116" s="7" t="s">
        <v>1669</v>
      </c>
      <c r="R116" s="7"/>
      <c r="W116" s="7"/>
      <c r="Y116" s="8"/>
    </row>
    <row r="117" spans="1:25" x14ac:dyDescent="0.3">
      <c r="A117" s="3" t="s">
        <v>276</v>
      </c>
      <c r="B117" s="5" t="s">
        <v>12</v>
      </c>
      <c r="C117" s="5" t="s">
        <v>1</v>
      </c>
      <c r="D117" s="6">
        <v>1</v>
      </c>
      <c r="E117" s="7" t="s">
        <v>0</v>
      </c>
      <c r="F117" s="13" t="s">
        <v>1682</v>
      </c>
      <c r="H117" s="3" t="s">
        <v>1503</v>
      </c>
      <c r="M117" s="3" t="str">
        <f>HYPERLINK("[FB_Q1_20240422.xlsx]Morphe7!A1","Morphe7")</f>
        <v>Morphe7</v>
      </c>
      <c r="N117" s="21"/>
      <c r="O117" s="21"/>
      <c r="P117" s="21"/>
      <c r="Q117" s="7" t="s">
        <v>1669</v>
      </c>
      <c r="R117" s="7"/>
      <c r="W117" s="7"/>
      <c r="Y117" s="8"/>
    </row>
    <row r="118" spans="1:25" x14ac:dyDescent="0.3">
      <c r="A118" s="3" t="s">
        <v>277</v>
      </c>
      <c r="B118" s="5" t="s">
        <v>12</v>
      </c>
      <c r="C118" s="5" t="s">
        <v>1</v>
      </c>
      <c r="D118" s="6">
        <v>1</v>
      </c>
      <c r="E118" s="7" t="s">
        <v>0</v>
      </c>
      <c r="F118" s="13" t="s">
        <v>1682</v>
      </c>
      <c r="H118" s="3" t="s">
        <v>1504</v>
      </c>
      <c r="M118" s="3" t="str">
        <f>HYPERLINK("[FB_Q1_20240422.xlsx]Morphe8!A1","Morphe8")</f>
        <v>Morphe8</v>
      </c>
      <c r="N118" s="21"/>
      <c r="O118" s="21"/>
      <c r="P118" s="21"/>
      <c r="Q118" s="7" t="s">
        <v>1669</v>
      </c>
      <c r="R118" s="7"/>
      <c r="W118" s="7"/>
      <c r="Y118" s="8"/>
    </row>
    <row r="119" spans="1:25" x14ac:dyDescent="0.3">
      <c r="A119" s="3" t="s">
        <v>278</v>
      </c>
      <c r="B119" s="5" t="s">
        <v>12</v>
      </c>
      <c r="C119" s="5" t="s">
        <v>2</v>
      </c>
      <c r="D119" s="6">
        <v>1</v>
      </c>
      <c r="E119" s="7" t="s">
        <v>0</v>
      </c>
      <c r="F119" s="13" t="s">
        <v>1680</v>
      </c>
      <c r="H119" s="3" t="s">
        <v>1443</v>
      </c>
      <c r="I119" s="3" t="s">
        <v>1514</v>
      </c>
      <c r="M119" s="3" t="s">
        <v>45</v>
      </c>
      <c r="N119" s="21"/>
      <c r="O119" s="21"/>
      <c r="P119" s="21"/>
      <c r="Q119" s="7" t="s">
        <v>1669</v>
      </c>
      <c r="R119" s="7"/>
      <c r="W119" s="7" t="s">
        <v>1463</v>
      </c>
      <c r="X119" s="6" t="s">
        <v>1464</v>
      </c>
      <c r="Y119" s="8"/>
    </row>
    <row r="120" spans="1:25" x14ac:dyDescent="0.3">
      <c r="A120" s="3" t="s">
        <v>279</v>
      </c>
      <c r="B120" s="5" t="s">
        <v>12</v>
      </c>
      <c r="C120" s="5" t="s">
        <v>2</v>
      </c>
      <c r="D120" s="6">
        <v>1</v>
      </c>
      <c r="E120" s="7" t="s">
        <v>0</v>
      </c>
      <c r="F120" s="13" t="s">
        <v>1680</v>
      </c>
      <c r="K120" s="3" t="s">
        <v>1516</v>
      </c>
      <c r="N120" s="3" t="s">
        <v>1515</v>
      </c>
      <c r="P120" s="3" t="s">
        <v>1519</v>
      </c>
      <c r="Q120" s="7" t="s">
        <v>1669</v>
      </c>
      <c r="R120" s="7"/>
      <c r="W120" s="7" t="s">
        <v>1463</v>
      </c>
      <c r="X120" s="6" t="s">
        <v>1464</v>
      </c>
      <c r="Y120" s="8"/>
    </row>
    <row r="121" spans="1:25" x14ac:dyDescent="0.3">
      <c r="A121" s="3" t="s">
        <v>280</v>
      </c>
      <c r="B121" s="5" t="s">
        <v>12</v>
      </c>
      <c r="C121" s="5" t="s">
        <v>2</v>
      </c>
      <c r="D121" s="6">
        <v>1</v>
      </c>
      <c r="E121" s="7" t="s">
        <v>0</v>
      </c>
      <c r="F121" s="13" t="s">
        <v>1680</v>
      </c>
      <c r="K121" s="3" t="s">
        <v>1517</v>
      </c>
      <c r="P121" s="3" t="s">
        <v>1520</v>
      </c>
      <c r="Q121" s="7" t="s">
        <v>1669</v>
      </c>
      <c r="R121" s="7"/>
      <c r="W121" s="7" t="s">
        <v>1463</v>
      </c>
      <c r="X121" s="6" t="s">
        <v>1464</v>
      </c>
      <c r="Y121" s="8"/>
    </row>
    <row r="122" spans="1:25" x14ac:dyDescent="0.3">
      <c r="A122" s="3" t="s">
        <v>281</v>
      </c>
      <c r="B122" s="5" t="s">
        <v>12</v>
      </c>
      <c r="C122" s="5" t="s">
        <v>2</v>
      </c>
      <c r="D122" s="6">
        <v>1</v>
      </c>
      <c r="E122" s="7" t="s">
        <v>0</v>
      </c>
      <c r="F122" s="13" t="s">
        <v>1680</v>
      </c>
      <c r="J122" s="3" t="s">
        <v>1518</v>
      </c>
      <c r="O122" s="3" t="s">
        <v>1521</v>
      </c>
      <c r="Q122" s="7" t="s">
        <v>1670</v>
      </c>
      <c r="R122" s="7"/>
      <c r="W122" s="7" t="s">
        <v>1463</v>
      </c>
      <c r="X122" s="6" t="s">
        <v>1464</v>
      </c>
      <c r="Y122" s="8"/>
    </row>
    <row r="123" spans="1:25" x14ac:dyDescent="0.3">
      <c r="A123" s="3" t="s">
        <v>282</v>
      </c>
      <c r="B123" s="5" t="s">
        <v>12</v>
      </c>
      <c r="C123" s="5" t="s">
        <v>2</v>
      </c>
      <c r="D123" s="6">
        <v>1</v>
      </c>
      <c r="E123" s="7" t="s">
        <v>0</v>
      </c>
      <c r="F123" s="13" t="s">
        <v>1685</v>
      </c>
      <c r="J123" s="3" t="s">
        <v>1535</v>
      </c>
      <c r="O123" s="3" t="s">
        <v>1522</v>
      </c>
      <c r="Q123" s="7" t="s">
        <v>1670</v>
      </c>
      <c r="R123" s="7"/>
      <c r="W123" s="7" t="s">
        <v>1463</v>
      </c>
      <c r="X123" s="6" t="s">
        <v>1464</v>
      </c>
      <c r="Y123" s="8"/>
    </row>
    <row r="124" spans="1:25" ht="12.75" customHeight="1" x14ac:dyDescent="0.3">
      <c r="A124" s="3" t="s">
        <v>283</v>
      </c>
      <c r="B124" s="5" t="s">
        <v>12</v>
      </c>
      <c r="C124" s="5" t="s">
        <v>2</v>
      </c>
      <c r="D124" s="6">
        <v>1</v>
      </c>
      <c r="E124" s="7" t="s">
        <v>0</v>
      </c>
      <c r="F124" s="13" t="s">
        <v>1685</v>
      </c>
      <c r="J124" s="3" t="s">
        <v>1536</v>
      </c>
      <c r="O124" s="3" t="s">
        <v>1523</v>
      </c>
      <c r="Q124" s="7" t="s">
        <v>1670</v>
      </c>
      <c r="R124" s="7"/>
      <c r="W124" s="7" t="s">
        <v>1463</v>
      </c>
      <c r="X124" s="6" t="s">
        <v>1464</v>
      </c>
      <c r="Y124" s="8"/>
    </row>
    <row r="125" spans="1:25" x14ac:dyDescent="0.3">
      <c r="A125" s="3" t="s">
        <v>284</v>
      </c>
      <c r="B125" s="5" t="s">
        <v>12</v>
      </c>
      <c r="C125" s="5" t="s">
        <v>16</v>
      </c>
      <c r="D125" s="6">
        <v>20</v>
      </c>
      <c r="E125" s="7" t="s">
        <v>0</v>
      </c>
      <c r="F125" s="13" t="s">
        <v>1680</v>
      </c>
      <c r="I125" s="3" t="s">
        <v>1525</v>
      </c>
      <c r="M125" s="9" t="s">
        <v>1524</v>
      </c>
      <c r="N125" s="3" t="s">
        <v>1529</v>
      </c>
      <c r="Q125" s="7" t="s">
        <v>1668</v>
      </c>
      <c r="R125" s="7"/>
      <c r="W125" s="7" t="s">
        <v>1463</v>
      </c>
      <c r="X125" s="6" t="s">
        <v>1464</v>
      </c>
      <c r="Y125" s="8"/>
    </row>
    <row r="126" spans="1:25" x14ac:dyDescent="0.3">
      <c r="A126" s="3" t="s">
        <v>285</v>
      </c>
      <c r="B126" s="5" t="s">
        <v>12</v>
      </c>
      <c r="C126" s="5" t="s">
        <v>16</v>
      </c>
      <c r="D126" s="6">
        <v>20</v>
      </c>
      <c r="E126" s="7" t="s">
        <v>0</v>
      </c>
      <c r="F126" s="13" t="s">
        <v>1680</v>
      </c>
      <c r="K126" s="3" t="s">
        <v>1526</v>
      </c>
      <c r="P126" s="3" t="s">
        <v>1530</v>
      </c>
      <c r="Q126" s="7" t="s">
        <v>1669</v>
      </c>
      <c r="R126" s="7"/>
      <c r="W126" s="7" t="s">
        <v>1463</v>
      </c>
      <c r="X126" s="6" t="s">
        <v>1464</v>
      </c>
      <c r="Y126" s="8"/>
    </row>
    <row r="127" spans="1:25" x14ac:dyDescent="0.3">
      <c r="A127" s="3" t="s">
        <v>286</v>
      </c>
      <c r="B127" s="5" t="s">
        <v>12</v>
      </c>
      <c r="C127" s="5" t="s">
        <v>16</v>
      </c>
      <c r="D127" s="6">
        <v>20</v>
      </c>
      <c r="E127" s="7" t="s">
        <v>0</v>
      </c>
      <c r="F127" s="13" t="s">
        <v>1680</v>
      </c>
      <c r="K127" s="3" t="s">
        <v>1527</v>
      </c>
      <c r="P127" s="3" t="s">
        <v>1531</v>
      </c>
      <c r="Q127" s="7" t="s">
        <v>1669</v>
      </c>
      <c r="R127" s="7"/>
      <c r="W127" s="7" t="s">
        <v>1463</v>
      </c>
      <c r="X127" s="6" t="s">
        <v>1464</v>
      </c>
      <c r="Y127" s="8"/>
    </row>
    <row r="128" spans="1:25" x14ac:dyDescent="0.3">
      <c r="A128" s="3" t="s">
        <v>287</v>
      </c>
      <c r="B128" s="5" t="s">
        <v>12</v>
      </c>
      <c r="C128" s="5" t="s">
        <v>16</v>
      </c>
      <c r="D128" s="6">
        <v>20</v>
      </c>
      <c r="E128" s="7" t="s">
        <v>0</v>
      </c>
      <c r="F128" s="13" t="s">
        <v>1680</v>
      </c>
      <c r="J128" s="3" t="s">
        <v>1528</v>
      </c>
      <c r="O128" s="3" t="s">
        <v>1532</v>
      </c>
      <c r="Q128" s="7" t="s">
        <v>1670</v>
      </c>
      <c r="R128" s="7"/>
      <c r="W128" s="7" t="s">
        <v>1463</v>
      </c>
      <c r="X128" s="6" t="s">
        <v>1464</v>
      </c>
      <c r="Y128" s="8"/>
    </row>
    <row r="129" spans="1:25" x14ac:dyDescent="0.3">
      <c r="A129" s="3" t="s">
        <v>288</v>
      </c>
      <c r="B129" s="5" t="s">
        <v>12</v>
      </c>
      <c r="C129" s="5" t="s">
        <v>16</v>
      </c>
      <c r="D129" s="6">
        <v>20</v>
      </c>
      <c r="E129" s="7" t="s">
        <v>0</v>
      </c>
      <c r="F129" s="13" t="s">
        <v>1685</v>
      </c>
      <c r="J129" s="3" t="s">
        <v>1537</v>
      </c>
      <c r="O129" s="3" t="s">
        <v>1533</v>
      </c>
      <c r="Q129" s="7" t="s">
        <v>1670</v>
      </c>
      <c r="R129" s="7"/>
      <c r="W129" s="7" t="s">
        <v>1463</v>
      </c>
      <c r="X129" s="6" t="s">
        <v>1464</v>
      </c>
      <c r="Y129" s="8"/>
    </row>
    <row r="130" spans="1:25" x14ac:dyDescent="0.3">
      <c r="A130" s="3" t="s">
        <v>289</v>
      </c>
      <c r="B130" s="5" t="s">
        <v>12</v>
      </c>
      <c r="C130" s="5" t="s">
        <v>16</v>
      </c>
      <c r="D130" s="6">
        <v>20</v>
      </c>
      <c r="E130" s="7" t="s">
        <v>0</v>
      </c>
      <c r="F130" s="13" t="s">
        <v>1685</v>
      </c>
      <c r="J130" s="3" t="s">
        <v>1538</v>
      </c>
      <c r="O130" s="3" t="s">
        <v>1534</v>
      </c>
      <c r="Q130" s="7" t="s">
        <v>1670</v>
      </c>
      <c r="R130" s="7"/>
      <c r="W130" s="7" t="s">
        <v>1463</v>
      </c>
      <c r="X130" s="6" t="s">
        <v>1464</v>
      </c>
      <c r="Y130" s="8"/>
    </row>
    <row r="131" spans="1:25" x14ac:dyDescent="0.3">
      <c r="A131" s="3" t="s">
        <v>290</v>
      </c>
      <c r="B131" s="5" t="s">
        <v>12</v>
      </c>
      <c r="C131" s="5" t="s">
        <v>3</v>
      </c>
      <c r="D131" s="6">
        <v>1</v>
      </c>
      <c r="E131" s="7" t="s">
        <v>0</v>
      </c>
      <c r="F131" s="13" t="s">
        <v>1680</v>
      </c>
      <c r="H131" s="3" t="s">
        <v>1540</v>
      </c>
      <c r="I131" s="3" t="s">
        <v>1546</v>
      </c>
      <c r="M131" s="3" t="s">
        <v>45</v>
      </c>
      <c r="N131" s="3" t="s">
        <v>1552</v>
      </c>
      <c r="Q131" s="7" t="s">
        <v>1668</v>
      </c>
      <c r="R131" s="7"/>
      <c r="W131" s="7" t="s">
        <v>1463</v>
      </c>
      <c r="X131" s="6" t="s">
        <v>1464</v>
      </c>
      <c r="Y131" s="8"/>
    </row>
    <row r="132" spans="1:25" x14ac:dyDescent="0.3">
      <c r="A132" s="3" t="s">
        <v>291</v>
      </c>
      <c r="B132" s="5" t="s">
        <v>12</v>
      </c>
      <c r="C132" s="5" t="s">
        <v>3</v>
      </c>
      <c r="D132" s="6">
        <v>1</v>
      </c>
      <c r="E132" s="7" t="s">
        <v>0</v>
      </c>
      <c r="F132" s="13" t="s">
        <v>1680</v>
      </c>
      <c r="K132" s="3" t="s">
        <v>1547</v>
      </c>
      <c r="P132" s="3" t="s">
        <v>1553</v>
      </c>
      <c r="Q132" s="7" t="s">
        <v>1669</v>
      </c>
      <c r="R132" s="7"/>
      <c r="W132" s="7" t="s">
        <v>1463</v>
      </c>
      <c r="X132" s="6" t="s">
        <v>1464</v>
      </c>
      <c r="Y132" s="8"/>
    </row>
    <row r="133" spans="1:25" x14ac:dyDescent="0.3">
      <c r="A133" s="3" t="s">
        <v>292</v>
      </c>
      <c r="B133" s="5" t="s">
        <v>12</v>
      </c>
      <c r="C133" s="5" t="s">
        <v>3</v>
      </c>
      <c r="D133" s="6">
        <v>1</v>
      </c>
      <c r="E133" s="7" t="s">
        <v>0</v>
      </c>
      <c r="F133" s="13" t="s">
        <v>1680</v>
      </c>
      <c r="K133" s="3" t="s">
        <v>1548</v>
      </c>
      <c r="P133" s="3" t="s">
        <v>1554</v>
      </c>
      <c r="Q133" s="7" t="s">
        <v>1669</v>
      </c>
      <c r="R133" s="7"/>
      <c r="W133" s="7" t="s">
        <v>1463</v>
      </c>
      <c r="X133" s="6" t="s">
        <v>1464</v>
      </c>
      <c r="Y133" s="8"/>
    </row>
    <row r="134" spans="1:25" x14ac:dyDescent="0.3">
      <c r="A134" s="3" t="s">
        <v>293</v>
      </c>
      <c r="B134" s="5" t="s">
        <v>12</v>
      </c>
      <c r="C134" s="5" t="s">
        <v>3</v>
      </c>
      <c r="D134" s="6">
        <v>1</v>
      </c>
      <c r="E134" s="7" t="s">
        <v>0</v>
      </c>
      <c r="F134" s="13" t="s">
        <v>1680</v>
      </c>
      <c r="J134" s="3" t="s">
        <v>1549</v>
      </c>
      <c r="O134" s="3" t="s">
        <v>1555</v>
      </c>
      <c r="Q134" s="7" t="s">
        <v>1670</v>
      </c>
      <c r="R134" s="7"/>
      <c r="W134" s="7" t="s">
        <v>1463</v>
      </c>
      <c r="X134" s="6" t="s">
        <v>1464</v>
      </c>
      <c r="Y134" s="8"/>
    </row>
    <row r="135" spans="1:25" x14ac:dyDescent="0.3">
      <c r="A135" s="3" t="s">
        <v>294</v>
      </c>
      <c r="B135" s="5" t="s">
        <v>12</v>
      </c>
      <c r="C135" s="5" t="s">
        <v>3</v>
      </c>
      <c r="D135" s="6">
        <v>1</v>
      </c>
      <c r="E135" s="7" t="s">
        <v>0</v>
      </c>
      <c r="F135" s="13" t="s">
        <v>1685</v>
      </c>
      <c r="J135" s="3" t="s">
        <v>1550</v>
      </c>
      <c r="O135" s="3" t="s">
        <v>1556</v>
      </c>
      <c r="Q135" s="7" t="s">
        <v>1670</v>
      </c>
      <c r="R135" s="7"/>
      <c r="W135" s="7" t="s">
        <v>1463</v>
      </c>
      <c r="X135" s="6" t="s">
        <v>1464</v>
      </c>
      <c r="Y135" s="8"/>
    </row>
    <row r="136" spans="1:25" x14ac:dyDescent="0.3">
      <c r="A136" s="3" t="s">
        <v>295</v>
      </c>
      <c r="B136" s="5" t="s">
        <v>12</v>
      </c>
      <c r="C136" s="5" t="s">
        <v>3</v>
      </c>
      <c r="D136" s="6">
        <v>1</v>
      </c>
      <c r="E136" s="7" t="s">
        <v>0</v>
      </c>
      <c r="F136" s="13" t="s">
        <v>1685</v>
      </c>
      <c r="J136" s="3" t="s">
        <v>1551</v>
      </c>
      <c r="O136" s="3" t="s">
        <v>1557</v>
      </c>
      <c r="Q136" s="7" t="s">
        <v>1670</v>
      </c>
      <c r="R136" s="7"/>
      <c r="W136" s="7" t="s">
        <v>1463</v>
      </c>
      <c r="X136" s="6" t="s">
        <v>1464</v>
      </c>
      <c r="Y136" s="8"/>
    </row>
    <row r="137" spans="1:25" x14ac:dyDescent="0.3">
      <c r="A137" s="3" t="s">
        <v>296</v>
      </c>
      <c r="B137" s="5" t="s">
        <v>12</v>
      </c>
      <c r="C137" s="5" t="s">
        <v>3</v>
      </c>
      <c r="D137" s="6">
        <v>1</v>
      </c>
      <c r="E137" s="7" t="s">
        <v>0</v>
      </c>
      <c r="F137" s="13" t="s">
        <v>1681</v>
      </c>
      <c r="H137" s="3" t="s">
        <v>1539</v>
      </c>
      <c r="I137" s="3" t="s">
        <v>1541</v>
      </c>
      <c r="M137" s="3" t="s">
        <v>46</v>
      </c>
      <c r="N137" s="3" t="s">
        <v>1542</v>
      </c>
      <c r="Q137" s="7" t="s">
        <v>1668</v>
      </c>
      <c r="R137" s="7"/>
      <c r="W137" s="7" t="s">
        <v>1463</v>
      </c>
      <c r="X137" s="6" t="s">
        <v>1464</v>
      </c>
      <c r="Y137" s="8"/>
    </row>
    <row r="138" spans="1:25" x14ac:dyDescent="0.3">
      <c r="A138" s="3" t="s">
        <v>297</v>
      </c>
      <c r="B138" s="5" t="s">
        <v>12</v>
      </c>
      <c r="C138" s="5" t="s">
        <v>3</v>
      </c>
      <c r="D138" s="6">
        <v>1</v>
      </c>
      <c r="E138" s="7" t="s">
        <v>0</v>
      </c>
      <c r="F138" s="13" t="s">
        <v>1681</v>
      </c>
      <c r="K138" s="3" t="s">
        <v>1545</v>
      </c>
      <c r="P138" s="3" t="s">
        <v>1543</v>
      </c>
      <c r="Q138" s="7" t="s">
        <v>1669</v>
      </c>
      <c r="R138" s="7"/>
      <c r="W138" s="7" t="s">
        <v>1463</v>
      </c>
      <c r="X138" s="6" t="s">
        <v>1464</v>
      </c>
      <c r="Y138" s="8"/>
    </row>
    <row r="139" spans="1:25" x14ac:dyDescent="0.3">
      <c r="A139" s="3" t="s">
        <v>298</v>
      </c>
      <c r="B139" s="5" t="s">
        <v>12</v>
      </c>
      <c r="C139" s="5" t="s">
        <v>3</v>
      </c>
      <c r="D139" s="6">
        <v>1</v>
      </c>
      <c r="E139" s="7" t="s">
        <v>0</v>
      </c>
      <c r="F139" s="13" t="s">
        <v>1681</v>
      </c>
      <c r="J139" s="3" t="s">
        <v>1544</v>
      </c>
      <c r="O139" s="3" t="s">
        <v>1453</v>
      </c>
      <c r="Q139" s="7" t="s">
        <v>1670</v>
      </c>
      <c r="R139" s="7"/>
      <c r="W139" s="7" t="s">
        <v>1463</v>
      </c>
      <c r="X139" s="6" t="s">
        <v>1464</v>
      </c>
      <c r="Y139" s="8"/>
    </row>
    <row r="140" spans="1:25" x14ac:dyDescent="0.3">
      <c r="A140" s="3" t="s">
        <v>299</v>
      </c>
      <c r="B140" s="5" t="s">
        <v>12</v>
      </c>
      <c r="C140" s="5" t="s">
        <v>3</v>
      </c>
      <c r="D140" s="6">
        <v>1</v>
      </c>
      <c r="E140" s="7" t="s">
        <v>0</v>
      </c>
      <c r="F140" s="13" t="s">
        <v>1681</v>
      </c>
      <c r="H140" s="3" t="s">
        <v>1558</v>
      </c>
      <c r="M140" s="3" t="s">
        <v>1559</v>
      </c>
      <c r="Q140" s="7"/>
      <c r="R140" s="7"/>
      <c r="W140" s="7"/>
      <c r="Y140" s="8"/>
    </row>
    <row r="141" spans="1:25" s="14" customFormat="1" x14ac:dyDescent="0.25">
      <c r="A141" s="3" t="s">
        <v>1780</v>
      </c>
      <c r="B141" s="12" t="s">
        <v>12</v>
      </c>
      <c r="C141" s="12" t="s">
        <v>3</v>
      </c>
      <c r="D141" s="17">
        <v>2</v>
      </c>
      <c r="E141" s="15" t="s">
        <v>0</v>
      </c>
      <c r="F141" s="14" t="s">
        <v>1684</v>
      </c>
      <c r="H141" s="14" t="s">
        <v>1745</v>
      </c>
      <c r="I141" s="14" t="s">
        <v>1702</v>
      </c>
      <c r="M141" s="14" t="s">
        <v>1561</v>
      </c>
      <c r="N141" s="14" t="s">
        <v>1699</v>
      </c>
      <c r="Q141" s="15" t="s">
        <v>1668</v>
      </c>
      <c r="R141" s="15" t="s">
        <v>1692</v>
      </c>
      <c r="T141" s="3"/>
      <c r="W141" s="15" t="s">
        <v>1463</v>
      </c>
      <c r="X141" s="14" t="s">
        <v>1464</v>
      </c>
      <c r="Y141" s="14" t="s">
        <v>1766</v>
      </c>
    </row>
    <row r="142" spans="1:25" s="16" customFormat="1" ht="14.4" x14ac:dyDescent="0.3">
      <c r="A142" s="3" t="s">
        <v>1781</v>
      </c>
      <c r="B142" s="12" t="s">
        <v>12</v>
      </c>
      <c r="C142" s="12" t="s">
        <v>6</v>
      </c>
      <c r="D142" s="17">
        <v>1</v>
      </c>
      <c r="E142" s="15" t="s">
        <v>0</v>
      </c>
      <c r="F142" s="14" t="s">
        <v>1684</v>
      </c>
      <c r="H142" s="18" t="s">
        <v>1716</v>
      </c>
      <c r="I142" s="14" t="s">
        <v>1703</v>
      </c>
      <c r="M142" s="14" t="s">
        <v>1719</v>
      </c>
      <c r="N142" s="14" t="s">
        <v>1706</v>
      </c>
      <c r="Q142" s="15" t="s">
        <v>1668</v>
      </c>
      <c r="R142" s="15" t="s">
        <v>1692</v>
      </c>
      <c r="T142" s="3"/>
      <c r="W142" s="15" t="s">
        <v>1463</v>
      </c>
      <c r="X142" s="14" t="s">
        <v>1464</v>
      </c>
      <c r="Y142" s="14" t="s">
        <v>1768</v>
      </c>
    </row>
    <row r="143" spans="1:25" s="16" customFormat="1" ht="14.4" x14ac:dyDescent="0.3">
      <c r="A143" s="3" t="s">
        <v>300</v>
      </c>
      <c r="B143" s="12" t="s">
        <v>12</v>
      </c>
      <c r="C143" s="12" t="s">
        <v>7</v>
      </c>
      <c r="D143" s="17">
        <v>9</v>
      </c>
      <c r="E143" s="15" t="s">
        <v>0</v>
      </c>
      <c r="F143" s="14" t="s">
        <v>1684</v>
      </c>
      <c r="H143" s="18" t="s">
        <v>1712</v>
      </c>
      <c r="I143" s="14" t="s">
        <v>1704</v>
      </c>
      <c r="M143" s="14" t="s">
        <v>1715</v>
      </c>
      <c r="N143" s="14" t="s">
        <v>1705</v>
      </c>
      <c r="Q143" s="15" t="s">
        <v>1668</v>
      </c>
      <c r="R143" s="15" t="s">
        <v>1692</v>
      </c>
      <c r="T143" s="3"/>
      <c r="W143" s="15" t="s">
        <v>1463</v>
      </c>
      <c r="X143" s="14" t="s">
        <v>1464</v>
      </c>
      <c r="Y143" s="14" t="s">
        <v>1767</v>
      </c>
    </row>
    <row r="144" spans="1:25" s="16" customFormat="1" ht="14.4" x14ac:dyDescent="0.3">
      <c r="A144" s="3" t="s">
        <v>301</v>
      </c>
      <c r="B144" s="12" t="s">
        <v>12</v>
      </c>
      <c r="C144" s="12" t="s">
        <v>8</v>
      </c>
      <c r="D144" s="17">
        <v>1</v>
      </c>
      <c r="E144" s="15" t="s">
        <v>0</v>
      </c>
      <c r="F144" s="14" t="s">
        <v>1684</v>
      </c>
      <c r="H144" s="18" t="s">
        <v>1563</v>
      </c>
      <c r="I144" s="14" t="s">
        <v>1740</v>
      </c>
      <c r="M144" s="14" t="s">
        <v>1719</v>
      </c>
      <c r="N144" s="14" t="s">
        <v>1737</v>
      </c>
      <c r="Q144" s="15" t="s">
        <v>1668</v>
      </c>
      <c r="R144" s="15" t="s">
        <v>1692</v>
      </c>
      <c r="T144" s="3"/>
      <c r="W144" s="15" t="s">
        <v>1463</v>
      </c>
      <c r="X144" s="14" t="s">
        <v>1464</v>
      </c>
      <c r="Y144" s="14" t="s">
        <v>1769</v>
      </c>
    </row>
    <row r="145" spans="1:25" s="16" customFormat="1" ht="14.4" x14ac:dyDescent="0.3">
      <c r="A145" s="3" t="s">
        <v>302</v>
      </c>
      <c r="B145" s="12" t="s">
        <v>12</v>
      </c>
      <c r="C145" s="12" t="s">
        <v>9</v>
      </c>
      <c r="D145" s="17">
        <v>5</v>
      </c>
      <c r="E145" s="15" t="s">
        <v>0</v>
      </c>
      <c r="F145" s="14" t="s">
        <v>1684</v>
      </c>
      <c r="H145" s="18" t="s">
        <v>1744</v>
      </c>
      <c r="I145" s="14" t="s">
        <v>1741</v>
      </c>
      <c r="M145" s="14" t="s">
        <v>1738</v>
      </c>
      <c r="N145" s="14" t="s">
        <v>1739</v>
      </c>
      <c r="Q145" s="15" t="s">
        <v>1668</v>
      </c>
      <c r="R145" s="15" t="s">
        <v>1692</v>
      </c>
      <c r="T145" s="3"/>
      <c r="W145" s="15" t="s">
        <v>1463</v>
      </c>
      <c r="X145" s="14" t="s">
        <v>1464</v>
      </c>
      <c r="Y145" s="14" t="s">
        <v>1770</v>
      </c>
    </row>
    <row r="146" spans="1:25" s="16" customFormat="1" ht="14.4" x14ac:dyDescent="0.3">
      <c r="A146" s="3" t="s">
        <v>303</v>
      </c>
      <c r="B146" s="12" t="s">
        <v>12</v>
      </c>
      <c r="C146" s="12" t="s">
        <v>10</v>
      </c>
      <c r="D146" s="17">
        <v>1</v>
      </c>
      <c r="E146" s="15" t="s">
        <v>0</v>
      </c>
      <c r="F146" s="14" t="s">
        <v>1684</v>
      </c>
      <c r="H146" s="18" t="s">
        <v>1743</v>
      </c>
      <c r="I146" s="14" t="s">
        <v>1742</v>
      </c>
      <c r="M146" s="14" t="s">
        <v>1738</v>
      </c>
      <c r="N146" s="14" t="s">
        <v>1748</v>
      </c>
      <c r="Q146" s="15" t="s">
        <v>1668</v>
      </c>
      <c r="R146" s="15" t="s">
        <v>1692</v>
      </c>
      <c r="T146" s="3"/>
      <c r="W146" s="15" t="s">
        <v>1463</v>
      </c>
      <c r="X146" s="14" t="s">
        <v>1464</v>
      </c>
      <c r="Y146" s="14" t="s">
        <v>1771</v>
      </c>
    </row>
    <row r="147" spans="1:25" s="14" customFormat="1" ht="24" x14ac:dyDescent="0.25">
      <c r="A147" s="3" t="s">
        <v>304</v>
      </c>
      <c r="B147" s="12" t="s">
        <v>12</v>
      </c>
      <c r="C147" s="12" t="s">
        <v>11</v>
      </c>
      <c r="D147" s="17">
        <v>11</v>
      </c>
      <c r="E147" s="15" t="s">
        <v>0</v>
      </c>
      <c r="F147" s="14" t="s">
        <v>1684</v>
      </c>
      <c r="H147" s="18" t="s">
        <v>1743</v>
      </c>
      <c r="M147" s="14" t="s">
        <v>1755</v>
      </c>
      <c r="Q147" s="15" t="s">
        <v>1666</v>
      </c>
      <c r="R147" s="15" t="s">
        <v>1692</v>
      </c>
      <c r="T147" s="3"/>
      <c r="W147" s="15" t="s">
        <v>224</v>
      </c>
      <c r="X147" s="14" t="s">
        <v>222</v>
      </c>
      <c r="Y147" s="19" t="s">
        <v>1758</v>
      </c>
    </row>
    <row r="148" spans="1:25" s="14" customFormat="1" ht="24" x14ac:dyDescent="0.25">
      <c r="A148" s="3" t="s">
        <v>305</v>
      </c>
      <c r="B148" s="12" t="s">
        <v>12</v>
      </c>
      <c r="C148" s="12" t="s">
        <v>1754</v>
      </c>
      <c r="D148" s="17">
        <v>1</v>
      </c>
      <c r="E148" s="15" t="s">
        <v>0</v>
      </c>
      <c r="F148" s="14" t="s">
        <v>1684</v>
      </c>
      <c r="H148" s="18" t="s">
        <v>1743</v>
      </c>
      <c r="M148" s="14" t="s">
        <v>1755</v>
      </c>
      <c r="Q148" s="15" t="s">
        <v>1666</v>
      </c>
      <c r="R148" s="15" t="s">
        <v>1692</v>
      </c>
      <c r="T148" s="3"/>
      <c r="W148" s="15" t="s">
        <v>224</v>
      </c>
      <c r="X148" s="14" t="s">
        <v>226</v>
      </c>
      <c r="Y148" s="19" t="s">
        <v>1760</v>
      </c>
    </row>
    <row r="149" spans="1:25" s="14" customFormat="1" x14ac:dyDescent="0.25">
      <c r="A149" s="3" t="s">
        <v>306</v>
      </c>
      <c r="B149" s="12" t="s">
        <v>12</v>
      </c>
      <c r="C149" s="12" t="s">
        <v>3</v>
      </c>
      <c r="D149" s="17">
        <v>2</v>
      </c>
      <c r="E149" s="15" t="s">
        <v>0</v>
      </c>
      <c r="F149" s="14" t="s">
        <v>1683</v>
      </c>
      <c r="H149" s="18" t="s">
        <v>1562</v>
      </c>
      <c r="I149" s="14" t="s">
        <v>1709</v>
      </c>
      <c r="M149" s="14" t="s">
        <v>1560</v>
      </c>
      <c r="N149" s="14" t="s">
        <v>1698</v>
      </c>
      <c r="Q149" s="15" t="s">
        <v>1668</v>
      </c>
      <c r="R149" s="15" t="s">
        <v>1692</v>
      </c>
      <c r="T149" s="3"/>
      <c r="W149" s="15" t="s">
        <v>1463</v>
      </c>
      <c r="X149" s="14" t="s">
        <v>1464</v>
      </c>
      <c r="Y149" s="19" t="s">
        <v>1762</v>
      </c>
    </row>
    <row r="150" spans="1:25" s="16" customFormat="1" ht="14.4" x14ac:dyDescent="0.3">
      <c r="A150" s="3" t="s">
        <v>307</v>
      </c>
      <c r="B150" s="12" t="s">
        <v>12</v>
      </c>
      <c r="C150" s="12" t="s">
        <v>6</v>
      </c>
      <c r="D150" s="17">
        <v>1</v>
      </c>
      <c r="E150" s="15" t="s">
        <v>0</v>
      </c>
      <c r="F150" s="14" t="s">
        <v>1683</v>
      </c>
      <c r="H150" s="18" t="s">
        <v>1717</v>
      </c>
      <c r="I150" s="14" t="s">
        <v>1710</v>
      </c>
      <c r="M150" s="14" t="s">
        <v>1718</v>
      </c>
      <c r="N150" s="14" t="s">
        <v>1708</v>
      </c>
      <c r="Q150" s="15" t="s">
        <v>1668</v>
      </c>
      <c r="R150" s="15" t="s">
        <v>1692</v>
      </c>
      <c r="T150" s="3"/>
      <c r="W150" s="15" t="s">
        <v>1463</v>
      </c>
      <c r="X150" s="14" t="s">
        <v>1464</v>
      </c>
      <c r="Y150" s="19" t="s">
        <v>1764</v>
      </c>
    </row>
    <row r="151" spans="1:25" s="16" customFormat="1" ht="14.4" x14ac:dyDescent="0.3">
      <c r="A151" s="3" t="s">
        <v>308</v>
      </c>
      <c r="B151" s="12" t="s">
        <v>12</v>
      </c>
      <c r="C151" s="12" t="s">
        <v>7</v>
      </c>
      <c r="D151" s="17">
        <v>9</v>
      </c>
      <c r="E151" s="15" t="s">
        <v>0</v>
      </c>
      <c r="F151" s="14" t="s">
        <v>1683</v>
      </c>
      <c r="H151" s="18" t="s">
        <v>1713</v>
      </c>
      <c r="I151" s="14" t="s">
        <v>1711</v>
      </c>
      <c r="M151" s="14" t="s">
        <v>1714</v>
      </c>
      <c r="N151" s="14" t="s">
        <v>1707</v>
      </c>
      <c r="Q151" s="15" t="s">
        <v>1668</v>
      </c>
      <c r="R151" s="15" t="s">
        <v>1692</v>
      </c>
      <c r="T151" s="3"/>
      <c r="W151" s="15" t="s">
        <v>1463</v>
      </c>
      <c r="X151" s="14" t="s">
        <v>1464</v>
      </c>
      <c r="Y151" s="19" t="s">
        <v>1765</v>
      </c>
    </row>
    <row r="152" spans="1:25" customFormat="1" ht="14.4" x14ac:dyDescent="0.3">
      <c r="A152" s="3" t="s">
        <v>309</v>
      </c>
      <c r="B152" s="12" t="s">
        <v>12</v>
      </c>
      <c r="C152" s="12" t="s">
        <v>8</v>
      </c>
      <c r="D152" s="17">
        <v>1</v>
      </c>
      <c r="E152" s="15" t="s">
        <v>0</v>
      </c>
      <c r="F152" s="14" t="s">
        <v>1683</v>
      </c>
      <c r="H152" s="18" t="s">
        <v>1720</v>
      </c>
      <c r="I152" s="14" t="s">
        <v>1721</v>
      </c>
      <c r="M152" s="14" t="s">
        <v>1724</v>
      </c>
      <c r="N152" s="14" t="s">
        <v>1725</v>
      </c>
      <c r="Q152" s="15" t="s">
        <v>1668</v>
      </c>
      <c r="R152" s="15" t="s">
        <v>1692</v>
      </c>
      <c r="T152" s="3"/>
      <c r="W152" s="15" t="s">
        <v>1463</v>
      </c>
      <c r="X152" s="14" t="s">
        <v>1464</v>
      </c>
      <c r="Y152" s="19" t="s">
        <v>1772</v>
      </c>
    </row>
    <row r="153" spans="1:25" customFormat="1" ht="14.4" x14ac:dyDescent="0.3">
      <c r="A153" s="3" t="s">
        <v>310</v>
      </c>
      <c r="B153" s="12" t="s">
        <v>12</v>
      </c>
      <c r="C153" s="12" t="s">
        <v>9</v>
      </c>
      <c r="D153" s="17">
        <v>5</v>
      </c>
      <c r="E153" s="15" t="s">
        <v>0</v>
      </c>
      <c r="F153" s="14" t="s">
        <v>1683</v>
      </c>
      <c r="H153" s="18" t="s">
        <v>1734</v>
      </c>
      <c r="I153" s="14" t="s">
        <v>1722</v>
      </c>
      <c r="M153" s="14" t="s">
        <v>1735</v>
      </c>
      <c r="N153" s="14" t="s">
        <v>1726</v>
      </c>
      <c r="Q153" s="15" t="s">
        <v>1668</v>
      </c>
      <c r="R153" s="15" t="s">
        <v>1692</v>
      </c>
      <c r="T153" s="3"/>
      <c r="W153" s="15" t="s">
        <v>1463</v>
      </c>
      <c r="X153" s="14" t="s">
        <v>1464</v>
      </c>
      <c r="Y153" s="19" t="s">
        <v>1763</v>
      </c>
    </row>
    <row r="154" spans="1:25" customFormat="1" ht="14.4" x14ac:dyDescent="0.3">
      <c r="A154" s="3" t="s">
        <v>311</v>
      </c>
      <c r="B154" s="12" t="s">
        <v>12</v>
      </c>
      <c r="C154" s="12" t="s">
        <v>10</v>
      </c>
      <c r="D154" s="17">
        <v>6</v>
      </c>
      <c r="E154" s="15" t="s">
        <v>0</v>
      </c>
      <c r="F154" s="14" t="s">
        <v>1683</v>
      </c>
      <c r="H154" s="18" t="s">
        <v>1734</v>
      </c>
      <c r="I154" s="14" t="s">
        <v>1723</v>
      </c>
      <c r="M154" s="14" t="s">
        <v>1735</v>
      </c>
      <c r="N154" s="14" t="s">
        <v>1727</v>
      </c>
      <c r="Q154" s="15" t="s">
        <v>1668</v>
      </c>
      <c r="R154" s="15" t="s">
        <v>1692</v>
      </c>
      <c r="T154" s="3"/>
      <c r="W154" s="15" t="s">
        <v>1463</v>
      </c>
      <c r="X154" s="14" t="s">
        <v>1464</v>
      </c>
      <c r="Y154" s="19" t="s">
        <v>1773</v>
      </c>
    </row>
    <row r="155" spans="1:25" s="14" customFormat="1" ht="24" x14ac:dyDescent="0.25">
      <c r="A155" s="3" t="s">
        <v>312</v>
      </c>
      <c r="B155" s="12" t="s">
        <v>12</v>
      </c>
      <c r="C155" s="12" t="s">
        <v>11</v>
      </c>
      <c r="D155" s="17">
        <v>11</v>
      </c>
      <c r="E155" s="15" t="s">
        <v>0</v>
      </c>
      <c r="F155" s="14" t="s">
        <v>1683</v>
      </c>
      <c r="H155" s="18" t="s">
        <v>1734</v>
      </c>
      <c r="M155" s="14" t="s">
        <v>1756</v>
      </c>
      <c r="Q155" s="15" t="s">
        <v>1666</v>
      </c>
      <c r="R155" s="15" t="s">
        <v>1692</v>
      </c>
      <c r="T155" s="3"/>
      <c r="W155" s="15" t="s">
        <v>224</v>
      </c>
      <c r="X155" s="14" t="s">
        <v>222</v>
      </c>
      <c r="Y155" s="19" t="s">
        <v>1757</v>
      </c>
    </row>
    <row r="156" spans="1:25" customFormat="1" ht="14.4" x14ac:dyDescent="0.3">
      <c r="A156" s="3" t="s">
        <v>313</v>
      </c>
      <c r="B156" s="12" t="s">
        <v>12</v>
      </c>
      <c r="C156" s="12" t="s">
        <v>8</v>
      </c>
      <c r="D156" s="17">
        <v>1</v>
      </c>
      <c r="E156" s="15" t="s">
        <v>0</v>
      </c>
      <c r="F156" s="14" t="s">
        <v>1683</v>
      </c>
      <c r="H156" s="18" t="s">
        <v>1728</v>
      </c>
      <c r="I156" s="14" t="s">
        <v>1731</v>
      </c>
      <c r="M156" s="14" t="s">
        <v>1729</v>
      </c>
      <c r="N156" s="14" t="s">
        <v>1730</v>
      </c>
      <c r="Q156" s="15" t="s">
        <v>1668</v>
      </c>
      <c r="R156" s="15" t="s">
        <v>1692</v>
      </c>
      <c r="T156" s="3"/>
      <c r="W156" s="15" t="s">
        <v>1463</v>
      </c>
      <c r="X156" s="14" t="s">
        <v>1464</v>
      </c>
      <c r="Y156" s="19" t="s">
        <v>1774</v>
      </c>
    </row>
    <row r="157" spans="1:25" customFormat="1" ht="14.4" x14ac:dyDescent="0.3">
      <c r="A157" s="3" t="s">
        <v>314</v>
      </c>
      <c r="B157" s="12" t="s">
        <v>12</v>
      </c>
      <c r="C157" s="12" t="s">
        <v>9</v>
      </c>
      <c r="D157" s="17">
        <v>5</v>
      </c>
      <c r="E157" s="15" t="s">
        <v>0</v>
      </c>
      <c r="F157" s="14" t="s">
        <v>1683</v>
      </c>
      <c r="H157" s="18" t="s">
        <v>1728</v>
      </c>
      <c r="I157" s="14" t="s">
        <v>1746</v>
      </c>
      <c r="M157" s="14" t="s">
        <v>1736</v>
      </c>
      <c r="N157" s="14" t="s">
        <v>1732</v>
      </c>
      <c r="Q157" s="15" t="s">
        <v>1668</v>
      </c>
      <c r="R157" s="15" t="s">
        <v>1692</v>
      </c>
      <c r="T157" s="3"/>
      <c r="W157" s="15" t="s">
        <v>1463</v>
      </c>
      <c r="X157" s="14" t="s">
        <v>1464</v>
      </c>
      <c r="Y157" s="19" t="s">
        <v>1775</v>
      </c>
    </row>
    <row r="158" spans="1:25" customFormat="1" ht="14.4" x14ac:dyDescent="0.3">
      <c r="A158" s="3" t="s">
        <v>315</v>
      </c>
      <c r="B158" s="12" t="s">
        <v>12</v>
      </c>
      <c r="C158" s="12" t="s">
        <v>10</v>
      </c>
      <c r="D158" s="17">
        <v>6</v>
      </c>
      <c r="E158" s="15" t="s">
        <v>0</v>
      </c>
      <c r="F158" s="14" t="s">
        <v>1683</v>
      </c>
      <c r="H158" s="18" t="s">
        <v>1728</v>
      </c>
      <c r="I158" s="14" t="s">
        <v>1747</v>
      </c>
      <c r="M158" s="14" t="s">
        <v>1736</v>
      </c>
      <c r="N158" s="14" t="s">
        <v>1733</v>
      </c>
      <c r="Q158" s="15" t="s">
        <v>1668</v>
      </c>
      <c r="R158" s="15" t="s">
        <v>1692</v>
      </c>
      <c r="T158" s="3"/>
      <c r="W158" s="15" t="s">
        <v>1463</v>
      </c>
      <c r="X158" s="14" t="s">
        <v>1464</v>
      </c>
      <c r="Y158" s="19" t="s">
        <v>1776</v>
      </c>
    </row>
    <row r="159" spans="1:25" s="14" customFormat="1" ht="24" x14ac:dyDescent="0.25">
      <c r="A159" s="3" t="s">
        <v>316</v>
      </c>
      <c r="B159" s="12" t="s">
        <v>12</v>
      </c>
      <c r="C159" s="12" t="s">
        <v>11</v>
      </c>
      <c r="D159" s="17">
        <v>11</v>
      </c>
      <c r="E159" s="15" t="s">
        <v>0</v>
      </c>
      <c r="F159" s="14" t="s">
        <v>1683</v>
      </c>
      <c r="H159" s="18" t="s">
        <v>1728</v>
      </c>
      <c r="M159" s="14" t="s">
        <v>189</v>
      </c>
      <c r="Q159" s="15" t="s">
        <v>1666</v>
      </c>
      <c r="R159" s="15" t="s">
        <v>1692</v>
      </c>
      <c r="T159" s="3"/>
      <c r="W159" s="15" t="s">
        <v>224</v>
      </c>
      <c r="X159" s="14" t="s">
        <v>222</v>
      </c>
      <c r="Y159" s="19" t="s">
        <v>1761</v>
      </c>
    </row>
    <row r="160" spans="1:25" s="14" customFormat="1" ht="24" x14ac:dyDescent="0.25">
      <c r="A160" s="3" t="s">
        <v>317</v>
      </c>
      <c r="B160" s="12" t="s">
        <v>12</v>
      </c>
      <c r="C160" s="12" t="s">
        <v>1754</v>
      </c>
      <c r="D160" s="17">
        <v>1</v>
      </c>
      <c r="E160" s="15" t="s">
        <v>0</v>
      </c>
      <c r="F160" s="14" t="s">
        <v>1683</v>
      </c>
      <c r="H160" s="18" t="s">
        <v>1728</v>
      </c>
      <c r="M160" s="14" t="s">
        <v>189</v>
      </c>
      <c r="Q160" s="15" t="s">
        <v>1666</v>
      </c>
      <c r="R160" s="15" t="s">
        <v>1692</v>
      </c>
      <c r="T160" s="3"/>
      <c r="W160" s="15" t="s">
        <v>224</v>
      </c>
      <c r="X160" s="14" t="s">
        <v>226</v>
      </c>
      <c r="Y160" s="19" t="s">
        <v>1759</v>
      </c>
    </row>
    <row r="161" spans="1:26" customFormat="1" ht="14.4" x14ac:dyDescent="0.3">
      <c r="A161" s="3" t="s">
        <v>318</v>
      </c>
      <c r="B161" s="12" t="s">
        <v>12</v>
      </c>
      <c r="C161" s="12" t="s">
        <v>3</v>
      </c>
      <c r="D161" s="17">
        <v>2</v>
      </c>
      <c r="E161" s="7" t="s">
        <v>0</v>
      </c>
      <c r="F161" s="13" t="s">
        <v>1700</v>
      </c>
      <c r="I161" s="3" t="s">
        <v>1749</v>
      </c>
      <c r="N161" s="3"/>
      <c r="O161" s="3" t="s">
        <v>1701</v>
      </c>
      <c r="Q161" s="7" t="s">
        <v>1670</v>
      </c>
      <c r="R161" s="15" t="s">
        <v>1692</v>
      </c>
      <c r="T161" s="3"/>
      <c r="W161" s="15" t="s">
        <v>1463</v>
      </c>
      <c r="X161" s="14" t="s">
        <v>1464</v>
      </c>
      <c r="Y161" s="19" t="s">
        <v>1777</v>
      </c>
    </row>
    <row r="162" spans="1:26" customFormat="1" ht="14.4" x14ac:dyDescent="0.3">
      <c r="A162" s="3" t="s">
        <v>319</v>
      </c>
      <c r="B162" s="12" t="s">
        <v>12</v>
      </c>
      <c r="C162" s="12" t="s">
        <v>6</v>
      </c>
      <c r="D162" s="17">
        <v>1</v>
      </c>
      <c r="E162" s="7" t="s">
        <v>0</v>
      </c>
      <c r="F162" s="13" t="s">
        <v>1700</v>
      </c>
      <c r="I162" s="3" t="s">
        <v>1750</v>
      </c>
      <c r="N162" s="3"/>
      <c r="O162" s="3" t="s">
        <v>1752</v>
      </c>
      <c r="Q162" s="7" t="s">
        <v>1670</v>
      </c>
      <c r="R162" s="15" t="s">
        <v>1692</v>
      </c>
      <c r="T162" s="3"/>
      <c r="W162" s="15" t="s">
        <v>1463</v>
      </c>
      <c r="X162" s="14" t="s">
        <v>1464</v>
      </c>
      <c r="Y162" s="19" t="s">
        <v>1779</v>
      </c>
    </row>
    <row r="163" spans="1:26" x14ac:dyDescent="0.25">
      <c r="A163" s="3" t="s">
        <v>320</v>
      </c>
      <c r="B163" s="12" t="s">
        <v>12</v>
      </c>
      <c r="C163" s="12" t="s">
        <v>7</v>
      </c>
      <c r="D163" s="17">
        <v>9</v>
      </c>
      <c r="E163" s="7" t="s">
        <v>0</v>
      </c>
      <c r="F163" s="13" t="s">
        <v>1700</v>
      </c>
      <c r="I163" s="3" t="s">
        <v>1751</v>
      </c>
      <c r="O163" s="3" t="s">
        <v>1753</v>
      </c>
      <c r="Q163" s="7" t="s">
        <v>1670</v>
      </c>
      <c r="R163" s="15" t="s">
        <v>1692</v>
      </c>
      <c r="W163" s="15" t="s">
        <v>1463</v>
      </c>
      <c r="X163" s="14" t="s">
        <v>1464</v>
      </c>
      <c r="Y163" s="19" t="s">
        <v>1778</v>
      </c>
    </row>
    <row r="164" spans="1:26" ht="14.4" x14ac:dyDescent="0.3">
      <c r="A164" s="3" t="s">
        <v>321</v>
      </c>
      <c r="B164" s="5" t="s">
        <v>14</v>
      </c>
      <c r="C164" s="5" t="s">
        <v>1564</v>
      </c>
      <c r="E164" s="7" t="s">
        <v>0</v>
      </c>
      <c r="F164" s="13" t="s">
        <v>1687</v>
      </c>
      <c r="G164" s="3" t="s">
        <v>1618</v>
      </c>
      <c r="L164" s="3" t="s">
        <v>1565</v>
      </c>
      <c r="Q164" s="7" t="s">
        <v>1667</v>
      </c>
      <c r="R164" s="7" t="s">
        <v>1691</v>
      </c>
      <c r="S164" t="s">
        <v>1802</v>
      </c>
      <c r="W164" s="7" t="s">
        <v>224</v>
      </c>
      <c r="Y164" s="8"/>
    </row>
    <row r="165" spans="1:26" ht="14.4" x14ac:dyDescent="0.3">
      <c r="A165" s="3" t="s">
        <v>322</v>
      </c>
      <c r="B165" s="5" t="s">
        <v>14</v>
      </c>
      <c r="C165" s="5" t="s">
        <v>1564</v>
      </c>
      <c r="E165" s="7" t="s">
        <v>0</v>
      </c>
      <c r="F165" s="13" t="s">
        <v>1687</v>
      </c>
      <c r="G165" s="3" t="s">
        <v>1619</v>
      </c>
      <c r="L165" s="3" t="s">
        <v>1566</v>
      </c>
      <c r="Q165" s="7" t="s">
        <v>1667</v>
      </c>
      <c r="R165" s="7" t="s">
        <v>1691</v>
      </c>
      <c r="S165" t="s">
        <v>1802</v>
      </c>
      <c r="W165" s="7" t="s">
        <v>224</v>
      </c>
      <c r="Y165" s="8"/>
    </row>
    <row r="166" spans="1:26" ht="14.4" x14ac:dyDescent="0.3">
      <c r="A166" s="3" t="s">
        <v>323</v>
      </c>
      <c r="B166" s="5" t="s">
        <v>14</v>
      </c>
      <c r="C166" s="5" t="s">
        <v>1564</v>
      </c>
      <c r="E166" s="7" t="s">
        <v>0</v>
      </c>
      <c r="F166" s="13" t="s">
        <v>1687</v>
      </c>
      <c r="G166" s="3" t="s">
        <v>1620</v>
      </c>
      <c r="L166" s="3" t="s">
        <v>1567</v>
      </c>
      <c r="Q166" s="7" t="s">
        <v>1667</v>
      </c>
      <c r="R166" s="7" t="s">
        <v>1692</v>
      </c>
      <c r="S166" t="s">
        <v>1802</v>
      </c>
      <c r="W166" s="7" t="s">
        <v>224</v>
      </c>
      <c r="Y166" s="8"/>
    </row>
    <row r="167" spans="1:26" ht="14.4" x14ac:dyDescent="0.3">
      <c r="A167" s="3" t="s">
        <v>324</v>
      </c>
      <c r="B167" s="5" t="s">
        <v>14</v>
      </c>
      <c r="C167" s="5" t="s">
        <v>1564</v>
      </c>
      <c r="E167" s="7" t="s">
        <v>0</v>
      </c>
      <c r="F167" s="13" t="s">
        <v>1687</v>
      </c>
      <c r="G167" s="3" t="s">
        <v>1621</v>
      </c>
      <c r="L167" s="3" t="s">
        <v>1568</v>
      </c>
      <c r="Q167" s="7" t="s">
        <v>1667</v>
      </c>
      <c r="R167" s="7" t="s">
        <v>1691</v>
      </c>
      <c r="S167" t="s">
        <v>1802</v>
      </c>
      <c r="W167" s="7" t="s">
        <v>224</v>
      </c>
      <c r="Y167" s="8"/>
    </row>
    <row r="168" spans="1:26" ht="14.4" x14ac:dyDescent="0.3">
      <c r="A168" s="3" t="s">
        <v>325</v>
      </c>
      <c r="B168" s="5" t="s">
        <v>14</v>
      </c>
      <c r="C168" s="5" t="s">
        <v>1564</v>
      </c>
      <c r="E168" s="7" t="s">
        <v>0</v>
      </c>
      <c r="F168" s="13" t="s">
        <v>1689</v>
      </c>
      <c r="G168" s="3" t="s">
        <v>1622</v>
      </c>
      <c r="L168" s="3" t="s">
        <v>1569</v>
      </c>
      <c r="Q168" s="7" t="s">
        <v>1667</v>
      </c>
      <c r="R168" s="7" t="s">
        <v>1692</v>
      </c>
      <c r="S168" t="s">
        <v>1802</v>
      </c>
      <c r="W168" s="7" t="s">
        <v>224</v>
      </c>
      <c r="Y168" s="8"/>
    </row>
    <row r="169" spans="1:26" ht="14.4" x14ac:dyDescent="0.3">
      <c r="A169" s="3" t="s">
        <v>326</v>
      </c>
      <c r="B169" s="5" t="s">
        <v>14</v>
      </c>
      <c r="C169" s="5" t="s">
        <v>1564</v>
      </c>
      <c r="E169" s="7" t="s">
        <v>0</v>
      </c>
      <c r="F169" s="13" t="s">
        <v>1687</v>
      </c>
      <c r="G169" s="3" t="s">
        <v>1623</v>
      </c>
      <c r="L169" s="3" t="s">
        <v>1570</v>
      </c>
      <c r="Q169" s="7" t="s">
        <v>1667</v>
      </c>
      <c r="R169" s="7" t="s">
        <v>1691</v>
      </c>
      <c r="S169" t="s">
        <v>1802</v>
      </c>
      <c r="W169" s="7" t="s">
        <v>224</v>
      </c>
      <c r="Y169" s="8"/>
    </row>
    <row r="170" spans="1:26" ht="24" x14ac:dyDescent="0.3">
      <c r="A170" s="3" t="s">
        <v>327</v>
      </c>
      <c r="B170" s="5" t="s">
        <v>14</v>
      </c>
      <c r="C170" s="5" t="s">
        <v>1564</v>
      </c>
      <c r="E170" s="7" t="s">
        <v>0</v>
      </c>
      <c r="F170" s="13" t="s">
        <v>1687</v>
      </c>
      <c r="G170" s="3" t="s">
        <v>1624</v>
      </c>
      <c r="L170" s="3" t="s">
        <v>1571</v>
      </c>
      <c r="Q170" s="7" t="s">
        <v>1667</v>
      </c>
      <c r="R170" s="7" t="s">
        <v>1691</v>
      </c>
      <c r="S170" t="s">
        <v>1802</v>
      </c>
      <c r="W170" s="7" t="s">
        <v>224</v>
      </c>
      <c r="Y170" s="8" t="s">
        <v>1625</v>
      </c>
      <c r="Z170" s="10"/>
    </row>
    <row r="171" spans="1:26" ht="24" x14ac:dyDescent="0.3">
      <c r="A171" s="3" t="s">
        <v>328</v>
      </c>
      <c r="B171" s="5" t="s">
        <v>14</v>
      </c>
      <c r="C171" s="5" t="s">
        <v>1564</v>
      </c>
      <c r="E171" s="7" t="s">
        <v>0</v>
      </c>
      <c r="F171" s="13" t="s">
        <v>1687</v>
      </c>
      <c r="G171" s="3" t="s">
        <v>1627</v>
      </c>
      <c r="L171" s="3" t="s">
        <v>1572</v>
      </c>
      <c r="Q171" s="7" t="s">
        <v>1667</v>
      </c>
      <c r="R171" s="7" t="s">
        <v>1691</v>
      </c>
      <c r="S171" t="s">
        <v>1802</v>
      </c>
      <c r="W171" s="7" t="s">
        <v>224</v>
      </c>
      <c r="Y171" s="8" t="s">
        <v>1626</v>
      </c>
      <c r="Z171" s="10"/>
    </row>
    <row r="172" spans="1:26" ht="14.4" x14ac:dyDescent="0.3">
      <c r="A172" s="3" t="s">
        <v>329</v>
      </c>
      <c r="B172" s="5" t="s">
        <v>14</v>
      </c>
      <c r="C172" s="5" t="s">
        <v>1564</v>
      </c>
      <c r="E172" s="7" t="s">
        <v>0</v>
      </c>
      <c r="F172" s="13" t="s">
        <v>1681</v>
      </c>
      <c r="G172" s="3" t="s">
        <v>1628</v>
      </c>
      <c r="L172" s="3" t="s">
        <v>188</v>
      </c>
      <c r="Q172" s="7" t="s">
        <v>1667</v>
      </c>
      <c r="R172" s="7" t="s">
        <v>1692</v>
      </c>
      <c r="S172" t="s">
        <v>1802</v>
      </c>
      <c r="W172" s="7" t="s">
        <v>224</v>
      </c>
      <c r="Y172" s="8"/>
    </row>
    <row r="173" spans="1:26" ht="14.4" x14ac:dyDescent="0.3">
      <c r="A173" s="3" t="s">
        <v>330</v>
      </c>
      <c r="B173" s="5" t="s">
        <v>14</v>
      </c>
      <c r="C173" s="5" t="s">
        <v>1564</v>
      </c>
      <c r="E173" s="7" t="s">
        <v>0</v>
      </c>
      <c r="F173" s="13" t="s">
        <v>1683</v>
      </c>
      <c r="G173" s="3" t="s">
        <v>1629</v>
      </c>
      <c r="L173" s="3" t="s">
        <v>1573</v>
      </c>
      <c r="Q173" s="7" t="s">
        <v>1667</v>
      </c>
      <c r="R173" s="7" t="s">
        <v>1692</v>
      </c>
      <c r="S173" t="s">
        <v>1802</v>
      </c>
      <c r="W173" s="7" t="s">
        <v>224</v>
      </c>
      <c r="Y173" s="8"/>
    </row>
    <row r="174" spans="1:26" ht="14.4" x14ac:dyDescent="0.3">
      <c r="A174" s="3" t="s">
        <v>331</v>
      </c>
      <c r="B174" s="5" t="s">
        <v>14</v>
      </c>
      <c r="C174" s="5" t="s">
        <v>1564</v>
      </c>
      <c r="E174" s="7" t="s">
        <v>0</v>
      </c>
      <c r="F174" s="13" t="s">
        <v>1683</v>
      </c>
      <c r="G174" s="3" t="s">
        <v>1630</v>
      </c>
      <c r="L174" s="3" t="s">
        <v>1574</v>
      </c>
      <c r="Q174" s="7" t="s">
        <v>1667</v>
      </c>
      <c r="R174" s="7" t="s">
        <v>1692</v>
      </c>
      <c r="S174" t="s">
        <v>1802</v>
      </c>
      <c r="W174" s="7" t="s">
        <v>224</v>
      </c>
      <c r="Y174" s="8"/>
    </row>
    <row r="175" spans="1:26" ht="14.4" x14ac:dyDescent="0.3">
      <c r="A175" s="3" t="s">
        <v>332</v>
      </c>
      <c r="B175" s="5" t="s">
        <v>14</v>
      </c>
      <c r="C175" s="5" t="s">
        <v>1564</v>
      </c>
      <c r="E175" s="7" t="s">
        <v>0</v>
      </c>
      <c r="F175" s="13" t="s">
        <v>1684</v>
      </c>
      <c r="G175" s="3" t="s">
        <v>1631</v>
      </c>
      <c r="L175" s="3" t="s">
        <v>1575</v>
      </c>
      <c r="Q175" s="7" t="s">
        <v>1667</v>
      </c>
      <c r="R175" s="7" t="s">
        <v>1692</v>
      </c>
      <c r="S175" t="s">
        <v>1802</v>
      </c>
      <c r="W175" s="7" t="s">
        <v>224</v>
      </c>
      <c r="Y175" s="8"/>
    </row>
    <row r="176" spans="1:26" ht="24" x14ac:dyDescent="0.3">
      <c r="A176" s="3" t="s">
        <v>333</v>
      </c>
      <c r="B176" s="5" t="s">
        <v>14</v>
      </c>
      <c r="C176" s="5" t="s">
        <v>1564</v>
      </c>
      <c r="E176" s="7" t="s">
        <v>0</v>
      </c>
      <c r="F176" s="13" t="s">
        <v>1688</v>
      </c>
      <c r="G176" s="3" t="s">
        <v>1632</v>
      </c>
      <c r="L176" s="3" t="s">
        <v>1576</v>
      </c>
      <c r="Q176" s="7" t="s">
        <v>1667</v>
      </c>
      <c r="R176" s="7" t="s">
        <v>1692</v>
      </c>
      <c r="S176" t="s">
        <v>1802</v>
      </c>
      <c r="W176" s="7" t="s">
        <v>224</v>
      </c>
      <c r="Y176" s="8" t="s">
        <v>221</v>
      </c>
    </row>
    <row r="177" spans="1:25" ht="14.4" x14ac:dyDescent="0.3">
      <c r="A177" s="3" t="s">
        <v>334</v>
      </c>
      <c r="B177" s="5" t="s">
        <v>14</v>
      </c>
      <c r="C177" s="5" t="s">
        <v>1564</v>
      </c>
      <c r="E177" s="7" t="s">
        <v>0</v>
      </c>
      <c r="F177" s="13" t="s">
        <v>1688</v>
      </c>
      <c r="G177" s="3" t="s">
        <v>1633</v>
      </c>
      <c r="L177" s="3" t="s">
        <v>1577</v>
      </c>
      <c r="Q177" s="7" t="s">
        <v>1667</v>
      </c>
      <c r="R177" s="7" t="s">
        <v>1692</v>
      </c>
      <c r="S177" t="s">
        <v>1802</v>
      </c>
      <c r="W177" s="7" t="s">
        <v>224</v>
      </c>
      <c r="Y177" s="8"/>
    </row>
    <row r="178" spans="1:25" ht="14.4" x14ac:dyDescent="0.3">
      <c r="A178" s="3" t="s">
        <v>335</v>
      </c>
      <c r="B178" s="5" t="s">
        <v>14</v>
      </c>
      <c r="C178" s="5" t="s">
        <v>1564</v>
      </c>
      <c r="E178" s="7" t="s">
        <v>0</v>
      </c>
      <c r="F178" s="13" t="s">
        <v>1680</v>
      </c>
      <c r="G178" s="3" t="s">
        <v>1634</v>
      </c>
      <c r="L178" s="3" t="s">
        <v>1578</v>
      </c>
      <c r="Q178" s="7" t="s">
        <v>1667</v>
      </c>
      <c r="R178" s="7" t="s">
        <v>1692</v>
      </c>
      <c r="S178" t="s">
        <v>1802</v>
      </c>
      <c r="W178" s="7" t="s">
        <v>224</v>
      </c>
      <c r="Y178" s="8"/>
    </row>
    <row r="179" spans="1:25" ht="14.4" x14ac:dyDescent="0.3">
      <c r="A179" s="3" t="s">
        <v>336</v>
      </c>
      <c r="B179" s="5" t="s">
        <v>14</v>
      </c>
      <c r="C179" s="5" t="s">
        <v>1564</v>
      </c>
      <c r="E179" s="7" t="s">
        <v>0</v>
      </c>
      <c r="F179" s="13" t="s">
        <v>1685</v>
      </c>
      <c r="G179" s="3" t="s">
        <v>1635</v>
      </c>
      <c r="L179" s="3" t="s">
        <v>1579</v>
      </c>
      <c r="Q179" s="7" t="s">
        <v>1667</v>
      </c>
      <c r="R179" s="7" t="s">
        <v>1692</v>
      </c>
      <c r="S179" t="s">
        <v>1802</v>
      </c>
      <c r="W179" s="7" t="s">
        <v>224</v>
      </c>
      <c r="Y179" s="8"/>
    </row>
    <row r="180" spans="1:25" ht="36" x14ac:dyDescent="0.3">
      <c r="A180" s="3" t="s">
        <v>337</v>
      </c>
      <c r="B180" s="5" t="s">
        <v>14</v>
      </c>
      <c r="C180" s="5" t="s">
        <v>1564</v>
      </c>
      <c r="E180" s="7" t="s">
        <v>0</v>
      </c>
      <c r="F180" s="13" t="s">
        <v>1680</v>
      </c>
      <c r="G180" s="3" t="s">
        <v>1636</v>
      </c>
      <c r="L180" s="3" t="s">
        <v>1580</v>
      </c>
      <c r="Q180" s="7" t="s">
        <v>1667</v>
      </c>
      <c r="R180" s="7" t="s">
        <v>1692</v>
      </c>
      <c r="S180" t="s">
        <v>1802</v>
      </c>
      <c r="W180" s="7" t="s">
        <v>224</v>
      </c>
      <c r="Y180" s="8" t="s">
        <v>1638</v>
      </c>
    </row>
    <row r="181" spans="1:25" ht="60" x14ac:dyDescent="0.3">
      <c r="A181" s="3" t="s">
        <v>338</v>
      </c>
      <c r="B181" s="5" t="s">
        <v>14</v>
      </c>
      <c r="C181" s="5" t="s">
        <v>1564</v>
      </c>
      <c r="E181" s="7" t="s">
        <v>0</v>
      </c>
      <c r="F181" s="13" t="s">
        <v>1680</v>
      </c>
      <c r="G181" s="3" t="s">
        <v>1637</v>
      </c>
      <c r="L181" s="3" t="s">
        <v>1581</v>
      </c>
      <c r="Q181" s="7" t="s">
        <v>1667</v>
      </c>
      <c r="R181" s="7" t="s">
        <v>1692</v>
      </c>
      <c r="S181" t="s">
        <v>1802</v>
      </c>
      <c r="W181" s="7" t="s">
        <v>224</v>
      </c>
      <c r="Y181" s="8" t="s">
        <v>1649</v>
      </c>
    </row>
    <row r="182" spans="1:25" ht="24" x14ac:dyDescent="0.3">
      <c r="A182" s="3" t="s">
        <v>339</v>
      </c>
      <c r="B182" s="5" t="s">
        <v>14</v>
      </c>
      <c r="C182" s="5" t="s">
        <v>1564</v>
      </c>
      <c r="E182" s="7" t="s">
        <v>0</v>
      </c>
      <c r="F182" s="13" t="s">
        <v>1680</v>
      </c>
      <c r="G182" s="3" t="s">
        <v>1639</v>
      </c>
      <c r="L182" s="3" t="s">
        <v>1582</v>
      </c>
      <c r="Q182" s="7" t="s">
        <v>1667</v>
      </c>
      <c r="R182" s="7" t="s">
        <v>1692</v>
      </c>
      <c r="S182" t="s">
        <v>1802</v>
      </c>
      <c r="W182" s="7" t="s">
        <v>224</v>
      </c>
      <c r="Y182" s="8" t="s">
        <v>221</v>
      </c>
    </row>
    <row r="183" spans="1:25" ht="14.4" x14ac:dyDescent="0.3">
      <c r="A183" s="3" t="s">
        <v>340</v>
      </c>
      <c r="B183" s="5" t="s">
        <v>14</v>
      </c>
      <c r="C183" s="5" t="s">
        <v>1564</v>
      </c>
      <c r="E183" s="7" t="s">
        <v>0</v>
      </c>
      <c r="F183" s="13" t="s">
        <v>1680</v>
      </c>
      <c r="G183" s="3" t="s">
        <v>1640</v>
      </c>
      <c r="L183" s="3" t="s">
        <v>1583</v>
      </c>
      <c r="Q183" s="7" t="s">
        <v>1667</v>
      </c>
      <c r="R183" s="7" t="s">
        <v>1692</v>
      </c>
      <c r="S183" t="s">
        <v>1802</v>
      </c>
      <c r="W183" s="7" t="s">
        <v>224</v>
      </c>
      <c r="Y183" s="8" t="s">
        <v>1696</v>
      </c>
    </row>
    <row r="184" spans="1:25" ht="14.4" x14ac:dyDescent="0.3">
      <c r="A184" s="3" t="s">
        <v>341</v>
      </c>
      <c r="B184" s="5" t="s">
        <v>14</v>
      </c>
      <c r="C184" s="5" t="s">
        <v>1564</v>
      </c>
      <c r="E184" s="7" t="s">
        <v>0</v>
      </c>
      <c r="F184" s="13" t="s">
        <v>1680</v>
      </c>
      <c r="G184" s="3" t="s">
        <v>1641</v>
      </c>
      <c r="L184" s="3" t="s">
        <v>1584</v>
      </c>
      <c r="Q184" s="7" t="s">
        <v>1667</v>
      </c>
      <c r="R184" s="7" t="s">
        <v>1692</v>
      </c>
      <c r="S184" t="s">
        <v>1802</v>
      </c>
      <c r="W184" s="7" t="s">
        <v>224</v>
      </c>
      <c r="Y184" s="8" t="s">
        <v>1696</v>
      </c>
    </row>
    <row r="185" spans="1:25" ht="14.4" x14ac:dyDescent="0.3">
      <c r="A185" s="3" t="s">
        <v>342</v>
      </c>
      <c r="B185" s="5" t="s">
        <v>14</v>
      </c>
      <c r="C185" s="5" t="s">
        <v>1564</v>
      </c>
      <c r="E185" s="7" t="s">
        <v>0</v>
      </c>
      <c r="F185" s="13" t="s">
        <v>1680</v>
      </c>
      <c r="G185" s="3" t="s">
        <v>1642</v>
      </c>
      <c r="L185" s="3" t="s">
        <v>1585</v>
      </c>
      <c r="Q185" s="7" t="s">
        <v>1667</v>
      </c>
      <c r="R185" s="7" t="s">
        <v>1692</v>
      </c>
      <c r="S185" t="s">
        <v>1802</v>
      </c>
      <c r="W185" s="7" t="s">
        <v>224</v>
      </c>
      <c r="Y185" s="8" t="s">
        <v>1696</v>
      </c>
    </row>
    <row r="186" spans="1:25" ht="14.4" x14ac:dyDescent="0.3">
      <c r="A186" s="3" t="s">
        <v>343</v>
      </c>
      <c r="B186" s="5" t="s">
        <v>14</v>
      </c>
      <c r="C186" s="5" t="s">
        <v>1564</v>
      </c>
      <c r="E186" s="7" t="s">
        <v>0</v>
      </c>
      <c r="F186" s="13" t="s">
        <v>1680</v>
      </c>
      <c r="G186" s="3" t="s">
        <v>1643</v>
      </c>
      <c r="L186" s="3" t="s">
        <v>1586</v>
      </c>
      <c r="Q186" s="7" t="s">
        <v>1667</v>
      </c>
      <c r="R186" s="7" t="s">
        <v>1692</v>
      </c>
      <c r="S186" t="s">
        <v>1802</v>
      </c>
      <c r="W186" s="7" t="s">
        <v>224</v>
      </c>
      <c r="Y186" s="8" t="s">
        <v>1696</v>
      </c>
    </row>
    <row r="187" spans="1:25" ht="14.4" x14ac:dyDescent="0.3">
      <c r="A187" s="3" t="s">
        <v>344</v>
      </c>
      <c r="B187" s="5" t="s">
        <v>14</v>
      </c>
      <c r="C187" s="5" t="s">
        <v>1564</v>
      </c>
      <c r="E187" s="7" t="s">
        <v>0</v>
      </c>
      <c r="F187" s="13" t="s">
        <v>1680</v>
      </c>
      <c r="G187" s="3" t="s">
        <v>1644</v>
      </c>
      <c r="L187" s="3" t="s">
        <v>1587</v>
      </c>
      <c r="Q187" s="7" t="s">
        <v>1667</v>
      </c>
      <c r="R187" s="7" t="s">
        <v>1692</v>
      </c>
      <c r="S187" t="s">
        <v>1802</v>
      </c>
      <c r="W187" s="7" t="s">
        <v>224</v>
      </c>
      <c r="Y187" s="8" t="s">
        <v>1696</v>
      </c>
    </row>
    <row r="188" spans="1:25" ht="14.4" x14ac:dyDescent="0.3">
      <c r="A188" s="3" t="s">
        <v>345</v>
      </c>
      <c r="B188" s="5" t="s">
        <v>14</v>
      </c>
      <c r="C188" s="5" t="s">
        <v>1564</v>
      </c>
      <c r="E188" s="7" t="s">
        <v>0</v>
      </c>
      <c r="F188" s="13" t="s">
        <v>1680</v>
      </c>
      <c r="G188" s="3" t="s">
        <v>1645</v>
      </c>
      <c r="L188" s="3" t="s">
        <v>1588</v>
      </c>
      <c r="Q188" s="7" t="s">
        <v>1667</v>
      </c>
      <c r="R188" s="7" t="s">
        <v>1692</v>
      </c>
      <c r="S188" t="s">
        <v>1802</v>
      </c>
      <c r="W188" s="7" t="s">
        <v>224</v>
      </c>
      <c r="Y188" s="8" t="s">
        <v>1696</v>
      </c>
    </row>
    <row r="189" spans="1:25" ht="14.4" x14ac:dyDescent="0.3">
      <c r="A189" s="3" t="s">
        <v>346</v>
      </c>
      <c r="B189" s="5" t="s">
        <v>14</v>
      </c>
      <c r="C189" s="5" t="s">
        <v>1564</v>
      </c>
      <c r="E189" s="7" t="s">
        <v>0</v>
      </c>
      <c r="F189" s="13" t="s">
        <v>1680</v>
      </c>
      <c r="G189" s="3" t="s">
        <v>1646</v>
      </c>
      <c r="L189" s="3" t="s">
        <v>1589</v>
      </c>
      <c r="Q189" s="7" t="s">
        <v>1667</v>
      </c>
      <c r="R189" s="7" t="s">
        <v>1692</v>
      </c>
      <c r="S189" t="s">
        <v>1802</v>
      </c>
      <c r="W189" s="7" t="s">
        <v>224</v>
      </c>
      <c r="Y189" s="8" t="s">
        <v>1696</v>
      </c>
    </row>
    <row r="190" spans="1:25" ht="14.4" x14ac:dyDescent="0.3">
      <c r="A190" s="3" t="s">
        <v>347</v>
      </c>
      <c r="B190" s="5" t="s">
        <v>14</v>
      </c>
      <c r="C190" s="5" t="s">
        <v>1564</v>
      </c>
      <c r="E190" s="7" t="s">
        <v>0</v>
      </c>
      <c r="F190" s="13" t="s">
        <v>1680</v>
      </c>
      <c r="G190" s="3" t="s">
        <v>1647</v>
      </c>
      <c r="L190" s="3" t="s">
        <v>1590</v>
      </c>
      <c r="Q190" s="7" t="s">
        <v>1667</v>
      </c>
      <c r="R190" s="7" t="s">
        <v>1692</v>
      </c>
      <c r="S190" t="s">
        <v>1802</v>
      </c>
      <c r="W190" s="7" t="s">
        <v>224</v>
      </c>
      <c r="Y190" s="8" t="s">
        <v>1696</v>
      </c>
    </row>
    <row r="191" spans="1:25" ht="14.4" x14ac:dyDescent="0.3">
      <c r="A191" s="3" t="s">
        <v>348</v>
      </c>
      <c r="B191" s="5" t="s">
        <v>14</v>
      </c>
      <c r="C191" s="5" t="s">
        <v>1564</v>
      </c>
      <c r="E191" s="7" t="s">
        <v>0</v>
      </c>
      <c r="F191" s="13" t="s">
        <v>1682</v>
      </c>
      <c r="G191" s="3" t="s">
        <v>1648</v>
      </c>
      <c r="L191" s="3" t="s">
        <v>1591</v>
      </c>
      <c r="Q191" s="7" t="s">
        <v>1667</v>
      </c>
      <c r="R191" s="7" t="s">
        <v>1692</v>
      </c>
      <c r="S191" t="s">
        <v>1802</v>
      </c>
      <c r="W191" s="7" t="s">
        <v>224</v>
      </c>
      <c r="Y191" s="8" t="s">
        <v>1696</v>
      </c>
    </row>
    <row r="192" spans="1:25" ht="14.4" x14ac:dyDescent="0.3">
      <c r="A192" s="3" t="s">
        <v>349</v>
      </c>
      <c r="B192" s="5" t="s">
        <v>14</v>
      </c>
      <c r="C192" s="5" t="s">
        <v>1564</v>
      </c>
      <c r="E192" s="7" t="s">
        <v>0</v>
      </c>
      <c r="F192" s="13" t="s">
        <v>1682</v>
      </c>
      <c r="G192" s="3" t="s">
        <v>1650</v>
      </c>
      <c r="L192" s="3" t="s">
        <v>1592</v>
      </c>
      <c r="Q192" s="7" t="s">
        <v>1667</v>
      </c>
      <c r="R192" s="7" t="s">
        <v>1692</v>
      </c>
      <c r="S192" t="s">
        <v>1802</v>
      </c>
      <c r="W192" s="7" t="s">
        <v>224</v>
      </c>
      <c r="Y192" s="8" t="s">
        <v>1696</v>
      </c>
    </row>
    <row r="193" spans="1:25" ht="14.4" x14ac:dyDescent="0.3">
      <c r="A193" s="3" t="s">
        <v>350</v>
      </c>
      <c r="B193" s="5" t="s">
        <v>14</v>
      </c>
      <c r="C193" s="5" t="s">
        <v>1564</v>
      </c>
      <c r="E193" s="7" t="s">
        <v>0</v>
      </c>
      <c r="F193" s="13" t="s">
        <v>1682</v>
      </c>
      <c r="G193" s="3" t="s">
        <v>1651</v>
      </c>
      <c r="L193" s="3" t="s">
        <v>1593</v>
      </c>
      <c r="Q193" s="7" t="s">
        <v>1667</v>
      </c>
      <c r="R193" s="7" t="s">
        <v>1692</v>
      </c>
      <c r="S193" t="s">
        <v>1802</v>
      </c>
      <c r="W193" s="7" t="s">
        <v>224</v>
      </c>
      <c r="Y193" s="8" t="s">
        <v>1696</v>
      </c>
    </row>
    <row r="194" spans="1:25" ht="14.4" x14ac:dyDescent="0.3">
      <c r="A194" s="3" t="s">
        <v>351</v>
      </c>
      <c r="B194" s="5" t="s">
        <v>14</v>
      </c>
      <c r="C194" s="5" t="s">
        <v>1564</v>
      </c>
      <c r="E194" s="7" t="s">
        <v>0</v>
      </c>
      <c r="F194" s="13" t="s">
        <v>1682</v>
      </c>
      <c r="G194" s="3" t="s">
        <v>1652</v>
      </c>
      <c r="L194" s="3" t="s">
        <v>1594</v>
      </c>
      <c r="Q194" s="7" t="s">
        <v>1667</v>
      </c>
      <c r="R194" s="7" t="s">
        <v>1692</v>
      </c>
      <c r="S194" t="s">
        <v>1802</v>
      </c>
      <c r="W194" s="7" t="s">
        <v>224</v>
      </c>
      <c r="Y194" s="8" t="s">
        <v>1696</v>
      </c>
    </row>
    <row r="195" spans="1:25" ht="14.4" x14ac:dyDescent="0.3">
      <c r="A195" s="3" t="s">
        <v>352</v>
      </c>
      <c r="B195" s="5" t="s">
        <v>14</v>
      </c>
      <c r="C195" s="5" t="s">
        <v>1564</v>
      </c>
      <c r="E195" s="7" t="s">
        <v>0</v>
      </c>
      <c r="F195" s="13" t="s">
        <v>1682</v>
      </c>
      <c r="G195" s="3" t="s">
        <v>1653</v>
      </c>
      <c r="L195" s="3" t="s">
        <v>1595</v>
      </c>
      <c r="Q195" s="7" t="s">
        <v>1667</v>
      </c>
      <c r="R195" s="7" t="s">
        <v>1692</v>
      </c>
      <c r="S195" t="s">
        <v>1802</v>
      </c>
      <c r="W195" s="7" t="s">
        <v>224</v>
      </c>
      <c r="Y195" s="8" t="s">
        <v>1696</v>
      </c>
    </row>
    <row r="196" spans="1:25" ht="14.4" x14ac:dyDescent="0.3">
      <c r="A196" s="3" t="s">
        <v>353</v>
      </c>
      <c r="B196" s="5" t="s">
        <v>14</v>
      </c>
      <c r="C196" s="5" t="s">
        <v>1564</v>
      </c>
      <c r="E196" s="7" t="s">
        <v>0</v>
      </c>
      <c r="F196" s="13" t="s">
        <v>1682</v>
      </c>
      <c r="G196" s="3" t="s">
        <v>1654</v>
      </c>
      <c r="L196" s="3" t="s">
        <v>1596</v>
      </c>
      <c r="Q196" s="7" t="s">
        <v>1667</v>
      </c>
      <c r="R196" s="7" t="s">
        <v>1692</v>
      </c>
      <c r="S196" t="s">
        <v>1802</v>
      </c>
      <c r="W196" s="7" t="s">
        <v>224</v>
      </c>
      <c r="Y196" s="8" t="s">
        <v>1696</v>
      </c>
    </row>
    <row r="197" spans="1:25" ht="14.4" x14ac:dyDescent="0.3">
      <c r="A197" s="3" t="s">
        <v>354</v>
      </c>
      <c r="B197" s="5" t="s">
        <v>14</v>
      </c>
      <c r="C197" s="5" t="s">
        <v>1564</v>
      </c>
      <c r="E197" s="7" t="s">
        <v>0</v>
      </c>
      <c r="F197" s="13" t="s">
        <v>1682</v>
      </c>
      <c r="G197" s="3" t="s">
        <v>1655</v>
      </c>
      <c r="L197" s="3" t="s">
        <v>1597</v>
      </c>
      <c r="Q197" s="7" t="s">
        <v>1667</v>
      </c>
      <c r="R197" s="7" t="s">
        <v>1692</v>
      </c>
      <c r="S197" t="s">
        <v>1802</v>
      </c>
      <c r="W197" s="7" t="s">
        <v>224</v>
      </c>
      <c r="Y197" s="8" t="s">
        <v>1696</v>
      </c>
    </row>
    <row r="198" spans="1:25" ht="14.4" x14ac:dyDescent="0.3">
      <c r="A198" s="3" t="s">
        <v>355</v>
      </c>
      <c r="B198" s="5" t="s">
        <v>14</v>
      </c>
      <c r="C198" s="5" t="s">
        <v>1564</v>
      </c>
      <c r="E198" s="7" t="s">
        <v>0</v>
      </c>
      <c r="F198" s="13" t="s">
        <v>1682</v>
      </c>
      <c r="G198" s="3" t="s">
        <v>1656</v>
      </c>
      <c r="L198" s="3" t="s">
        <v>1598</v>
      </c>
      <c r="Q198" s="7" t="s">
        <v>1667</v>
      </c>
      <c r="R198" s="7" t="s">
        <v>1692</v>
      </c>
      <c r="S198" t="s">
        <v>1802</v>
      </c>
      <c r="W198" s="7" t="s">
        <v>224</v>
      </c>
      <c r="Y198" s="8" t="s">
        <v>1696</v>
      </c>
    </row>
    <row r="199" spans="1:25" ht="108" x14ac:dyDescent="0.3">
      <c r="A199" s="3" t="s">
        <v>356</v>
      </c>
      <c r="B199" s="5" t="s">
        <v>14</v>
      </c>
      <c r="C199" s="5" t="s">
        <v>1564</v>
      </c>
      <c r="E199" s="7" t="s">
        <v>0</v>
      </c>
      <c r="F199" s="13" t="s">
        <v>1682</v>
      </c>
      <c r="G199" s="3" t="s">
        <v>1657</v>
      </c>
      <c r="L199" s="3" t="s">
        <v>1599</v>
      </c>
      <c r="Q199" s="7" t="s">
        <v>1667</v>
      </c>
      <c r="R199" s="7" t="s">
        <v>1692</v>
      </c>
      <c r="S199" t="s">
        <v>1802</v>
      </c>
      <c r="W199" s="7" t="s">
        <v>224</v>
      </c>
      <c r="Y199" s="8" t="s">
        <v>1697</v>
      </c>
    </row>
    <row r="200" spans="1:25" ht="14.4" x14ac:dyDescent="0.3">
      <c r="A200" s="3" t="s">
        <v>357</v>
      </c>
      <c r="B200" s="5" t="s">
        <v>14</v>
      </c>
      <c r="C200" s="5" t="s">
        <v>1564</v>
      </c>
      <c r="E200" s="7" t="s">
        <v>0</v>
      </c>
      <c r="F200" s="13" t="s">
        <v>1682</v>
      </c>
      <c r="G200" s="3" t="s">
        <v>1648</v>
      </c>
      <c r="L200" s="3" t="s">
        <v>1600</v>
      </c>
      <c r="Q200" s="7" t="s">
        <v>1667</v>
      </c>
      <c r="R200" s="7" t="s">
        <v>1692</v>
      </c>
      <c r="S200" t="s">
        <v>1802</v>
      </c>
      <c r="W200" s="7" t="s">
        <v>224</v>
      </c>
      <c r="Y200" s="8" t="s">
        <v>1696</v>
      </c>
    </row>
    <row r="201" spans="1:25" ht="14.4" x14ac:dyDescent="0.3">
      <c r="A201" s="3" t="s">
        <v>358</v>
      </c>
      <c r="B201" s="5" t="s">
        <v>14</v>
      </c>
      <c r="C201" s="5" t="s">
        <v>1564</v>
      </c>
      <c r="E201" s="7" t="s">
        <v>0</v>
      </c>
      <c r="F201" s="13" t="s">
        <v>1682</v>
      </c>
      <c r="G201" s="3" t="s">
        <v>1650</v>
      </c>
      <c r="L201" s="3" t="s">
        <v>1601</v>
      </c>
      <c r="Q201" s="7" t="s">
        <v>1667</v>
      </c>
      <c r="R201" s="7" t="s">
        <v>1692</v>
      </c>
      <c r="S201" t="s">
        <v>1802</v>
      </c>
      <c r="W201" s="7" t="s">
        <v>224</v>
      </c>
      <c r="Y201" s="8" t="s">
        <v>1696</v>
      </c>
    </row>
    <row r="202" spans="1:25" ht="14.4" x14ac:dyDescent="0.3">
      <c r="A202" s="3" t="s">
        <v>359</v>
      </c>
      <c r="B202" s="5" t="s">
        <v>14</v>
      </c>
      <c r="C202" s="5" t="s">
        <v>1564</v>
      </c>
      <c r="E202" s="7" t="s">
        <v>0</v>
      </c>
      <c r="F202" s="13" t="s">
        <v>1682</v>
      </c>
      <c r="G202" s="3" t="s">
        <v>1651</v>
      </c>
      <c r="L202" s="3" t="s">
        <v>1602</v>
      </c>
      <c r="Q202" s="7" t="s">
        <v>1667</v>
      </c>
      <c r="R202" s="7" t="s">
        <v>1692</v>
      </c>
      <c r="S202" t="s">
        <v>1802</v>
      </c>
      <c r="W202" s="7" t="s">
        <v>224</v>
      </c>
      <c r="Y202" s="8" t="s">
        <v>1696</v>
      </c>
    </row>
    <row r="203" spans="1:25" ht="14.4" x14ac:dyDescent="0.3">
      <c r="A203" s="3" t="s">
        <v>360</v>
      </c>
      <c r="B203" s="5" t="s">
        <v>14</v>
      </c>
      <c r="C203" s="5" t="s">
        <v>1564</v>
      </c>
      <c r="E203" s="7" t="s">
        <v>0</v>
      </c>
      <c r="F203" s="13" t="s">
        <v>1682</v>
      </c>
      <c r="G203" s="3" t="s">
        <v>1652</v>
      </c>
      <c r="L203" s="3" t="s">
        <v>1603</v>
      </c>
      <c r="Q203" s="7" t="s">
        <v>1667</v>
      </c>
      <c r="R203" s="7" t="s">
        <v>1692</v>
      </c>
      <c r="S203" t="s">
        <v>1802</v>
      </c>
      <c r="W203" s="7" t="s">
        <v>224</v>
      </c>
      <c r="Y203" s="8" t="s">
        <v>1696</v>
      </c>
    </row>
    <row r="204" spans="1:25" ht="14.4" x14ac:dyDescent="0.3">
      <c r="A204" s="3" t="s">
        <v>361</v>
      </c>
      <c r="B204" s="5" t="s">
        <v>14</v>
      </c>
      <c r="C204" s="5" t="s">
        <v>1564</v>
      </c>
      <c r="E204" s="7" t="s">
        <v>0</v>
      </c>
      <c r="F204" s="13" t="s">
        <v>1682</v>
      </c>
      <c r="G204" s="3" t="s">
        <v>1653</v>
      </c>
      <c r="L204" s="3" t="s">
        <v>1604</v>
      </c>
      <c r="Q204" s="7" t="s">
        <v>1667</v>
      </c>
      <c r="R204" s="7" t="s">
        <v>1692</v>
      </c>
      <c r="S204" t="s">
        <v>1802</v>
      </c>
      <c r="W204" s="7" t="s">
        <v>224</v>
      </c>
      <c r="Y204" s="8" t="s">
        <v>1696</v>
      </c>
    </row>
    <row r="205" spans="1:25" ht="14.4" x14ac:dyDescent="0.3">
      <c r="A205" s="3" t="s">
        <v>362</v>
      </c>
      <c r="B205" s="5" t="s">
        <v>14</v>
      </c>
      <c r="C205" s="5" t="s">
        <v>1564</v>
      </c>
      <c r="E205" s="7" t="s">
        <v>0</v>
      </c>
      <c r="F205" s="13" t="s">
        <v>1682</v>
      </c>
      <c r="G205" s="3" t="s">
        <v>1654</v>
      </c>
      <c r="L205" s="3" t="s">
        <v>1605</v>
      </c>
      <c r="Q205" s="7" t="s">
        <v>1667</v>
      </c>
      <c r="R205" s="7" t="s">
        <v>1692</v>
      </c>
      <c r="S205" t="s">
        <v>1802</v>
      </c>
      <c r="W205" s="7" t="s">
        <v>224</v>
      </c>
      <c r="Y205" s="8" t="s">
        <v>1696</v>
      </c>
    </row>
    <row r="206" spans="1:25" ht="14.4" x14ac:dyDescent="0.3">
      <c r="A206" s="3" t="s">
        <v>363</v>
      </c>
      <c r="B206" s="5" t="s">
        <v>14</v>
      </c>
      <c r="C206" s="5" t="s">
        <v>1564</v>
      </c>
      <c r="E206" s="7" t="s">
        <v>0</v>
      </c>
      <c r="F206" s="13" t="s">
        <v>1682</v>
      </c>
      <c r="G206" s="3" t="s">
        <v>1655</v>
      </c>
      <c r="L206" s="3" t="s">
        <v>1606</v>
      </c>
      <c r="Q206" s="7" t="s">
        <v>1667</v>
      </c>
      <c r="R206" s="7" t="s">
        <v>1692</v>
      </c>
      <c r="S206" t="s">
        <v>1802</v>
      </c>
      <c r="W206" s="7" t="s">
        <v>224</v>
      </c>
      <c r="Y206" s="8" t="s">
        <v>1696</v>
      </c>
    </row>
    <row r="207" spans="1:25" ht="14.4" x14ac:dyDescent="0.3">
      <c r="A207" s="3" t="s">
        <v>364</v>
      </c>
      <c r="B207" s="5" t="s">
        <v>14</v>
      </c>
      <c r="C207" s="5" t="s">
        <v>1564</v>
      </c>
      <c r="E207" s="7" t="s">
        <v>0</v>
      </c>
      <c r="F207" s="13" t="s">
        <v>1682</v>
      </c>
      <c r="G207" s="3" t="s">
        <v>1656</v>
      </c>
      <c r="L207" s="3" t="s">
        <v>1607</v>
      </c>
      <c r="Q207" s="7" t="s">
        <v>1667</v>
      </c>
      <c r="R207" s="7" t="s">
        <v>1692</v>
      </c>
      <c r="S207" t="s">
        <v>1802</v>
      </c>
      <c r="W207" s="7" t="s">
        <v>224</v>
      </c>
      <c r="Y207" s="8" t="s">
        <v>1696</v>
      </c>
    </row>
    <row r="208" spans="1:25" ht="108" x14ac:dyDescent="0.3">
      <c r="A208" s="3" t="s">
        <v>365</v>
      </c>
      <c r="B208" s="5" t="s">
        <v>14</v>
      </c>
      <c r="C208" s="5" t="s">
        <v>1564</v>
      </c>
      <c r="E208" s="7" t="s">
        <v>0</v>
      </c>
      <c r="F208" s="13" t="s">
        <v>1682</v>
      </c>
      <c r="G208" s="3" t="s">
        <v>1657</v>
      </c>
      <c r="L208" s="3" t="s">
        <v>1608</v>
      </c>
      <c r="Q208" s="7" t="s">
        <v>1667</v>
      </c>
      <c r="R208" s="7" t="s">
        <v>1692</v>
      </c>
      <c r="S208" t="s">
        <v>1802</v>
      </c>
      <c r="W208" s="7" t="s">
        <v>224</v>
      </c>
      <c r="Y208" s="8" t="s">
        <v>1697</v>
      </c>
    </row>
    <row r="209" spans="1:25" ht="60" x14ac:dyDescent="0.3">
      <c r="A209" s="3" t="s">
        <v>366</v>
      </c>
      <c r="B209" s="5" t="s">
        <v>14</v>
      </c>
      <c r="C209" s="5" t="s">
        <v>1564</v>
      </c>
      <c r="E209" s="7" t="s">
        <v>0</v>
      </c>
      <c r="F209" s="13" t="s">
        <v>1687</v>
      </c>
      <c r="G209" s="3" t="s">
        <v>1658</v>
      </c>
      <c r="L209" s="3" t="s">
        <v>1609</v>
      </c>
      <c r="Q209" s="7" t="s">
        <v>1667</v>
      </c>
      <c r="R209" s="7" t="s">
        <v>1691</v>
      </c>
      <c r="S209" t="s">
        <v>1802</v>
      </c>
      <c r="W209" s="7" t="s">
        <v>224</v>
      </c>
      <c r="Y209" s="8" t="s">
        <v>1695</v>
      </c>
    </row>
    <row r="210" spans="1:25" ht="48" x14ac:dyDescent="0.3">
      <c r="A210" s="3" t="s">
        <v>367</v>
      </c>
      <c r="B210" s="5" t="s">
        <v>14</v>
      </c>
      <c r="C210" s="5" t="s">
        <v>1564</v>
      </c>
      <c r="E210" s="7" t="s">
        <v>0</v>
      </c>
      <c r="F210" s="13" t="s">
        <v>1687</v>
      </c>
      <c r="G210" s="3" t="s">
        <v>1659</v>
      </c>
      <c r="L210" s="3" t="s">
        <v>1610</v>
      </c>
      <c r="Q210" s="7" t="s">
        <v>1667</v>
      </c>
      <c r="R210" s="7" t="s">
        <v>1691</v>
      </c>
      <c r="S210" t="s">
        <v>1802</v>
      </c>
      <c r="W210" s="7" t="s">
        <v>224</v>
      </c>
      <c r="Y210" s="8" t="s">
        <v>1694</v>
      </c>
    </row>
    <row r="211" spans="1:25" ht="60" x14ac:dyDescent="0.3">
      <c r="A211" s="3" t="s">
        <v>368</v>
      </c>
      <c r="B211" s="5" t="s">
        <v>14</v>
      </c>
      <c r="C211" s="5" t="s">
        <v>1564</v>
      </c>
      <c r="E211" s="7" t="s">
        <v>0</v>
      </c>
      <c r="F211" s="13" t="s">
        <v>1687</v>
      </c>
      <c r="G211" s="3" t="s">
        <v>1660</v>
      </c>
      <c r="L211" s="3" t="s">
        <v>1611</v>
      </c>
      <c r="Q211" s="7" t="s">
        <v>1667</v>
      </c>
      <c r="R211" s="7" t="s">
        <v>1692</v>
      </c>
      <c r="S211" t="s">
        <v>1802</v>
      </c>
      <c r="W211" s="7" t="s">
        <v>224</v>
      </c>
      <c r="Y211" s="8" t="s">
        <v>1693</v>
      </c>
    </row>
    <row r="212" spans="1:25" ht="24" x14ac:dyDescent="0.3">
      <c r="A212" s="3" t="s">
        <v>369</v>
      </c>
      <c r="B212" s="5" t="s">
        <v>14</v>
      </c>
      <c r="C212" s="5" t="s">
        <v>1564</v>
      </c>
      <c r="E212" s="7" t="s">
        <v>0</v>
      </c>
      <c r="F212" s="13" t="s">
        <v>1687</v>
      </c>
      <c r="G212" s="3" t="s">
        <v>1661</v>
      </c>
      <c r="L212" s="3" t="s">
        <v>1612</v>
      </c>
      <c r="Q212" s="7" t="s">
        <v>1667</v>
      </c>
      <c r="R212" s="7" t="s">
        <v>1691</v>
      </c>
      <c r="S212" t="s">
        <v>1802</v>
      </c>
      <c r="W212" s="7" t="s">
        <v>224</v>
      </c>
      <c r="Y212" s="8" t="s">
        <v>221</v>
      </c>
    </row>
    <row r="213" spans="1:25" ht="14.4" x14ac:dyDescent="0.3">
      <c r="A213" s="3" t="s">
        <v>370</v>
      </c>
      <c r="B213" s="5" t="s">
        <v>14</v>
      </c>
      <c r="C213" s="5" t="s">
        <v>1564</v>
      </c>
      <c r="E213" s="7" t="s">
        <v>0</v>
      </c>
      <c r="F213" s="13" t="s">
        <v>1687</v>
      </c>
      <c r="L213" s="3" t="s">
        <v>1613</v>
      </c>
      <c r="Q213" s="7" t="s">
        <v>1667</v>
      </c>
      <c r="R213" s="7" t="s">
        <v>1691</v>
      </c>
      <c r="S213" t="s">
        <v>1802</v>
      </c>
      <c r="W213" s="7" t="s">
        <v>224</v>
      </c>
      <c r="Y213" s="8"/>
    </row>
    <row r="214" spans="1:25" ht="14.4" x14ac:dyDescent="0.3">
      <c r="A214" s="3" t="s">
        <v>371</v>
      </c>
      <c r="B214" s="5" t="s">
        <v>14</v>
      </c>
      <c r="C214" s="5" t="s">
        <v>1564</v>
      </c>
      <c r="E214" s="7" t="s">
        <v>0</v>
      </c>
      <c r="F214" s="13" t="s">
        <v>1687</v>
      </c>
      <c r="L214" s="3" t="s">
        <v>1614</v>
      </c>
      <c r="Q214" s="7" t="s">
        <v>1667</v>
      </c>
      <c r="R214" s="7" t="s">
        <v>1691</v>
      </c>
      <c r="S214" t="s">
        <v>1802</v>
      </c>
      <c r="W214" s="7" t="s">
        <v>224</v>
      </c>
      <c r="Y214" s="8"/>
    </row>
    <row r="215" spans="1:25" ht="14.4" x14ac:dyDescent="0.3">
      <c r="A215" s="3" t="s">
        <v>372</v>
      </c>
      <c r="B215" s="5" t="s">
        <v>14</v>
      </c>
      <c r="C215" s="5" t="s">
        <v>1564</v>
      </c>
      <c r="E215" s="7" t="s">
        <v>0</v>
      </c>
      <c r="F215" s="13" t="s">
        <v>1687</v>
      </c>
      <c r="L215" s="3" t="s">
        <v>1615</v>
      </c>
      <c r="Q215" s="7" t="s">
        <v>1667</v>
      </c>
      <c r="R215" s="7" t="s">
        <v>1691</v>
      </c>
      <c r="S215" t="s">
        <v>1802</v>
      </c>
      <c r="W215" s="7" t="s">
        <v>224</v>
      </c>
      <c r="Y215" s="8"/>
    </row>
    <row r="216" spans="1:25" ht="14.4" x14ac:dyDescent="0.3">
      <c r="A216" s="3" t="s">
        <v>373</v>
      </c>
      <c r="B216" s="5" t="s">
        <v>14</v>
      </c>
      <c r="C216" s="5" t="s">
        <v>1564</v>
      </c>
      <c r="E216" s="7" t="s">
        <v>0</v>
      </c>
      <c r="F216" s="13" t="s">
        <v>1690</v>
      </c>
      <c r="L216" s="3" t="s">
        <v>1616</v>
      </c>
      <c r="Q216" s="7" t="s">
        <v>1667</v>
      </c>
      <c r="R216" s="7" t="s">
        <v>1692</v>
      </c>
      <c r="S216" t="s">
        <v>1802</v>
      </c>
      <c r="W216" s="7" t="s">
        <v>224</v>
      </c>
      <c r="Y216" s="8"/>
    </row>
    <row r="217" spans="1:25" ht="14.4" x14ac:dyDescent="0.3">
      <c r="A217" s="3" t="s">
        <v>374</v>
      </c>
      <c r="B217" s="5" t="s">
        <v>14</v>
      </c>
      <c r="C217" s="5" t="s">
        <v>1564</v>
      </c>
      <c r="E217" s="7" t="s">
        <v>0</v>
      </c>
      <c r="F217" s="13" t="s">
        <v>1687</v>
      </c>
      <c r="L217" s="3" t="s">
        <v>1617</v>
      </c>
      <c r="Q217" s="7" t="s">
        <v>1667</v>
      </c>
      <c r="R217" s="7" t="s">
        <v>1692</v>
      </c>
      <c r="S217" t="s">
        <v>1802</v>
      </c>
      <c r="W217" s="7" t="s">
        <v>224</v>
      </c>
      <c r="Y217" s="8" t="s">
        <v>1662</v>
      </c>
    </row>
    <row r="218" spans="1:25" x14ac:dyDescent="0.3">
      <c r="A218" s="3" t="s">
        <v>375</v>
      </c>
      <c r="B218" s="5"/>
      <c r="C218" s="5"/>
      <c r="D218" s="6"/>
      <c r="E218" s="7"/>
      <c r="Q218" s="7"/>
      <c r="W218" s="7"/>
      <c r="Y218" s="8"/>
    </row>
    <row r="219" spans="1:25" x14ac:dyDescent="0.3">
      <c r="A219" s="3" t="s">
        <v>376</v>
      </c>
      <c r="B219" s="5"/>
      <c r="C219" s="5"/>
      <c r="D219" s="6"/>
      <c r="E219" s="7"/>
      <c r="Q219" s="7"/>
      <c r="W219" s="7"/>
      <c r="Y219" s="8"/>
    </row>
    <row r="220" spans="1:25" x14ac:dyDescent="0.3">
      <c r="A220" s="3" t="s">
        <v>377</v>
      </c>
      <c r="B220" s="5"/>
      <c r="C220" s="5"/>
      <c r="D220" s="6"/>
      <c r="E220" s="7"/>
      <c r="Q220" s="7"/>
      <c r="W220" s="7"/>
      <c r="Y220" s="8"/>
    </row>
    <row r="221" spans="1:25" x14ac:dyDescent="0.3">
      <c r="A221" s="3" t="s">
        <v>378</v>
      </c>
      <c r="B221" s="5"/>
      <c r="C221" s="5"/>
      <c r="D221" s="6"/>
      <c r="E221" s="7"/>
      <c r="Q221" s="7"/>
      <c r="W221" s="7"/>
      <c r="Y221" s="8"/>
    </row>
    <row r="222" spans="1:25" x14ac:dyDescent="0.3">
      <c r="A222" s="3" t="s">
        <v>379</v>
      </c>
      <c r="B222" s="5"/>
      <c r="C222" s="5"/>
      <c r="D222" s="6"/>
      <c r="E222" s="7"/>
      <c r="Q222" s="7"/>
      <c r="W222" s="7"/>
      <c r="Y222" s="8"/>
    </row>
    <row r="223" spans="1:25" x14ac:dyDescent="0.3">
      <c r="A223" s="3" t="s">
        <v>380</v>
      </c>
      <c r="B223" s="5"/>
      <c r="C223" s="5"/>
      <c r="D223" s="6"/>
      <c r="E223" s="7"/>
      <c r="Q223" s="7"/>
      <c r="W223" s="7"/>
      <c r="Y223" s="8"/>
    </row>
    <row r="224" spans="1:25" x14ac:dyDescent="0.3">
      <c r="A224" s="3" t="s">
        <v>381</v>
      </c>
      <c r="B224" s="5"/>
      <c r="C224" s="5"/>
      <c r="D224" s="6"/>
      <c r="E224" s="7"/>
      <c r="Q224" s="7"/>
      <c r="W224" s="7"/>
      <c r="Y224" s="8"/>
    </row>
    <row r="225" spans="1:25" x14ac:dyDescent="0.3">
      <c r="A225" s="3" t="s">
        <v>382</v>
      </c>
      <c r="B225" s="5"/>
      <c r="C225" s="5"/>
      <c r="D225" s="6"/>
      <c r="E225" s="7"/>
      <c r="Q225" s="7"/>
      <c r="W225" s="7"/>
      <c r="Y225" s="8"/>
    </row>
    <row r="226" spans="1:25" x14ac:dyDescent="0.3">
      <c r="A226" s="3" t="s">
        <v>383</v>
      </c>
      <c r="B226" s="5"/>
      <c r="C226" s="5"/>
      <c r="D226" s="6"/>
      <c r="E226" s="7"/>
      <c r="Q226" s="7"/>
      <c r="W226" s="7"/>
      <c r="Y226" s="8"/>
    </row>
    <row r="227" spans="1:25" x14ac:dyDescent="0.3">
      <c r="A227" s="3" t="s">
        <v>384</v>
      </c>
      <c r="B227" s="5"/>
      <c r="C227" s="5"/>
      <c r="D227" s="6"/>
      <c r="E227" s="7"/>
      <c r="Q227" s="7"/>
      <c r="W227" s="7"/>
      <c r="Y227" s="8"/>
    </row>
    <row r="228" spans="1:25" x14ac:dyDescent="0.3">
      <c r="A228" s="3" t="s">
        <v>385</v>
      </c>
      <c r="B228" s="5"/>
      <c r="C228" s="5"/>
      <c r="D228" s="6"/>
      <c r="E228" s="7"/>
      <c r="Q228" s="7"/>
      <c r="W228" s="7"/>
      <c r="Y228" s="8"/>
    </row>
    <row r="229" spans="1:25" x14ac:dyDescent="0.3">
      <c r="A229" s="3" t="s">
        <v>386</v>
      </c>
      <c r="B229" s="5"/>
      <c r="C229" s="5"/>
      <c r="D229" s="6"/>
      <c r="E229" s="7"/>
      <c r="Q229" s="7"/>
      <c r="W229" s="7"/>
      <c r="Y229" s="8"/>
    </row>
    <row r="230" spans="1:25" x14ac:dyDescent="0.3">
      <c r="A230" s="3" t="s">
        <v>387</v>
      </c>
      <c r="B230" s="5"/>
      <c r="C230" s="5"/>
      <c r="D230" s="6"/>
      <c r="E230" s="7"/>
      <c r="Q230" s="7"/>
      <c r="W230" s="7"/>
      <c r="Y230" s="8"/>
    </row>
    <row r="231" spans="1:25" x14ac:dyDescent="0.3">
      <c r="A231" s="3" t="s">
        <v>388</v>
      </c>
      <c r="B231" s="5"/>
      <c r="C231" s="5"/>
      <c r="D231" s="6"/>
      <c r="E231" s="7"/>
      <c r="Q231" s="7"/>
      <c r="W231" s="7"/>
      <c r="Y231" s="8"/>
    </row>
    <row r="232" spans="1:25" x14ac:dyDescent="0.3">
      <c r="A232" s="3" t="s">
        <v>389</v>
      </c>
      <c r="B232" s="5"/>
      <c r="C232" s="5"/>
      <c r="D232" s="6"/>
      <c r="E232" s="7"/>
      <c r="Q232" s="7"/>
      <c r="W232" s="7"/>
      <c r="Y232" s="8"/>
    </row>
    <row r="233" spans="1:25" x14ac:dyDescent="0.3">
      <c r="A233" s="3" t="s">
        <v>390</v>
      </c>
      <c r="B233" s="5"/>
      <c r="C233" s="5"/>
      <c r="D233" s="6"/>
      <c r="E233" s="7"/>
      <c r="Q233" s="7"/>
      <c r="W233" s="7"/>
      <c r="Y233" s="8"/>
    </row>
    <row r="234" spans="1:25" x14ac:dyDescent="0.3">
      <c r="A234" s="3" t="s">
        <v>391</v>
      </c>
      <c r="B234" s="5"/>
      <c r="C234" s="5"/>
      <c r="D234" s="6"/>
      <c r="E234" s="7"/>
      <c r="Q234" s="7"/>
      <c r="W234" s="7"/>
      <c r="Y234" s="8"/>
    </row>
    <row r="235" spans="1:25" x14ac:dyDescent="0.3">
      <c r="A235" s="3" t="s">
        <v>392</v>
      </c>
      <c r="B235" s="5"/>
      <c r="C235" s="5"/>
      <c r="D235" s="6"/>
      <c r="E235" s="7"/>
      <c r="Q235" s="7"/>
      <c r="W235" s="7"/>
      <c r="Y235" s="8"/>
    </row>
    <row r="236" spans="1:25" x14ac:dyDescent="0.3">
      <c r="A236" s="3" t="s">
        <v>393</v>
      </c>
      <c r="B236" s="5"/>
      <c r="C236" s="5"/>
      <c r="D236" s="6"/>
      <c r="E236" s="7"/>
      <c r="Q236" s="7"/>
      <c r="W236" s="7"/>
      <c r="Y236" s="8"/>
    </row>
    <row r="237" spans="1:25" x14ac:dyDescent="0.3">
      <c r="A237" s="3" t="s">
        <v>394</v>
      </c>
      <c r="B237" s="5"/>
      <c r="C237" s="5"/>
      <c r="D237" s="6"/>
      <c r="E237" s="7"/>
      <c r="Q237" s="7"/>
      <c r="W237" s="7"/>
      <c r="Y237" s="8"/>
    </row>
    <row r="238" spans="1:25" x14ac:dyDescent="0.3">
      <c r="A238" s="3" t="s">
        <v>395</v>
      </c>
      <c r="B238" s="5"/>
      <c r="C238" s="5"/>
      <c r="D238" s="6"/>
      <c r="E238" s="7"/>
      <c r="Q238" s="7"/>
      <c r="W238" s="7"/>
      <c r="Y238" s="8"/>
    </row>
    <row r="239" spans="1:25" x14ac:dyDescent="0.3">
      <c r="A239" s="3" t="s">
        <v>396</v>
      </c>
      <c r="B239" s="5"/>
      <c r="C239" s="5"/>
      <c r="D239" s="6"/>
      <c r="E239" s="7"/>
      <c r="Q239" s="7"/>
      <c r="W239" s="7"/>
      <c r="Y239" s="8"/>
    </row>
    <row r="240" spans="1:25" x14ac:dyDescent="0.3">
      <c r="A240" s="3" t="s">
        <v>397</v>
      </c>
      <c r="B240" s="5"/>
      <c r="C240" s="5"/>
      <c r="D240" s="6"/>
      <c r="E240" s="7"/>
      <c r="Q240" s="7"/>
      <c r="W240" s="7"/>
      <c r="Y240" s="8"/>
    </row>
    <row r="241" spans="1:25" x14ac:dyDescent="0.3">
      <c r="A241" s="3" t="s">
        <v>398</v>
      </c>
      <c r="B241" s="5"/>
      <c r="C241" s="5"/>
      <c r="D241" s="6"/>
      <c r="E241" s="7"/>
      <c r="Q241" s="7"/>
      <c r="W241" s="7"/>
      <c r="Y241" s="8"/>
    </row>
    <row r="242" spans="1:25" x14ac:dyDescent="0.3">
      <c r="A242" s="3" t="s">
        <v>399</v>
      </c>
      <c r="B242" s="5"/>
      <c r="C242" s="5"/>
      <c r="D242" s="6"/>
      <c r="E242" s="7"/>
      <c r="Q242" s="7"/>
      <c r="W242" s="7"/>
      <c r="Y242" s="8"/>
    </row>
    <row r="243" spans="1:25" x14ac:dyDescent="0.3">
      <c r="A243" s="3" t="s">
        <v>400</v>
      </c>
      <c r="B243" s="5"/>
      <c r="C243" s="5"/>
      <c r="D243" s="6"/>
      <c r="E243" s="7"/>
      <c r="Q243" s="7"/>
      <c r="W243" s="7"/>
      <c r="Y243" s="8"/>
    </row>
    <row r="244" spans="1:25" x14ac:dyDescent="0.3">
      <c r="A244" s="3" t="s">
        <v>401</v>
      </c>
      <c r="B244" s="5"/>
      <c r="C244" s="5"/>
      <c r="D244" s="6"/>
      <c r="E244" s="7"/>
      <c r="Q244" s="7"/>
      <c r="W244" s="7"/>
      <c r="Y244" s="8"/>
    </row>
    <row r="245" spans="1:25" x14ac:dyDescent="0.3">
      <c r="A245" s="3" t="s">
        <v>402</v>
      </c>
      <c r="B245" s="5"/>
      <c r="C245" s="5"/>
      <c r="D245" s="6"/>
      <c r="E245" s="7"/>
      <c r="Q245" s="7"/>
      <c r="W245" s="7"/>
      <c r="Y245" s="8"/>
    </row>
    <row r="246" spans="1:25" x14ac:dyDescent="0.3">
      <c r="A246" s="3" t="s">
        <v>403</v>
      </c>
      <c r="B246" s="5"/>
      <c r="C246" s="5"/>
      <c r="D246" s="6"/>
      <c r="E246" s="7"/>
      <c r="Q246" s="7"/>
      <c r="W246" s="7"/>
      <c r="Y246" s="8"/>
    </row>
    <row r="247" spans="1:25" x14ac:dyDescent="0.3">
      <c r="A247" s="3" t="s">
        <v>404</v>
      </c>
      <c r="B247" s="5"/>
      <c r="C247" s="5"/>
      <c r="D247" s="6"/>
      <c r="E247" s="7"/>
      <c r="Q247" s="7"/>
      <c r="W247" s="7"/>
      <c r="Y247" s="8"/>
    </row>
    <row r="248" spans="1:25" x14ac:dyDescent="0.3">
      <c r="A248" s="3" t="s">
        <v>405</v>
      </c>
      <c r="B248" s="5"/>
      <c r="C248" s="5"/>
      <c r="D248" s="6"/>
      <c r="E248" s="7"/>
      <c r="Q248" s="7"/>
      <c r="W248" s="7"/>
      <c r="Y248" s="8"/>
    </row>
    <row r="249" spans="1:25" x14ac:dyDescent="0.3">
      <c r="A249" s="3" t="s">
        <v>406</v>
      </c>
      <c r="B249" s="5"/>
      <c r="C249" s="5"/>
      <c r="D249" s="6"/>
      <c r="E249" s="7"/>
      <c r="Q249" s="7"/>
      <c r="W249" s="7"/>
      <c r="Y249" s="8"/>
    </row>
    <row r="250" spans="1:25" x14ac:dyDescent="0.3">
      <c r="A250" s="3" t="s">
        <v>407</v>
      </c>
      <c r="B250" s="5"/>
      <c r="C250" s="5"/>
      <c r="D250" s="6"/>
      <c r="E250" s="7"/>
      <c r="Q250" s="7"/>
      <c r="W250" s="7"/>
      <c r="Y250" s="8"/>
    </row>
    <row r="251" spans="1:25" x14ac:dyDescent="0.3">
      <c r="A251" s="3" t="s">
        <v>408</v>
      </c>
      <c r="B251" s="5"/>
      <c r="C251" s="5"/>
      <c r="D251" s="6"/>
      <c r="E251" s="7"/>
      <c r="Q251" s="7"/>
      <c r="W251" s="7"/>
      <c r="Y251" s="8"/>
    </row>
    <row r="252" spans="1:25" x14ac:dyDescent="0.3">
      <c r="A252" s="3" t="s">
        <v>409</v>
      </c>
      <c r="B252" s="5"/>
      <c r="C252" s="5"/>
      <c r="D252" s="6"/>
      <c r="E252" s="7"/>
      <c r="Q252" s="7"/>
      <c r="W252" s="7"/>
      <c r="Y252" s="8"/>
    </row>
    <row r="253" spans="1:25" x14ac:dyDescent="0.3">
      <c r="A253" s="3" t="s">
        <v>410</v>
      </c>
      <c r="B253" s="5"/>
      <c r="C253" s="5"/>
      <c r="D253" s="6"/>
      <c r="E253" s="7"/>
      <c r="Q253" s="7"/>
      <c r="W253" s="7"/>
      <c r="Y253" s="8"/>
    </row>
    <row r="254" spans="1:25" x14ac:dyDescent="0.3">
      <c r="A254" s="3" t="s">
        <v>411</v>
      </c>
      <c r="B254" s="5"/>
      <c r="C254" s="5"/>
      <c r="D254" s="6"/>
      <c r="E254" s="7"/>
      <c r="Q254" s="7"/>
      <c r="W254" s="7"/>
      <c r="Y254" s="8"/>
    </row>
    <row r="255" spans="1:25" x14ac:dyDescent="0.3">
      <c r="A255" s="3" t="s">
        <v>412</v>
      </c>
      <c r="B255" s="5"/>
      <c r="C255" s="5"/>
      <c r="D255" s="6"/>
      <c r="E255" s="7"/>
      <c r="Q255" s="7"/>
      <c r="W255" s="7"/>
      <c r="Y255" s="8"/>
    </row>
    <row r="256" spans="1:25" x14ac:dyDescent="0.3">
      <c r="A256" s="3" t="s">
        <v>413</v>
      </c>
      <c r="B256" s="5"/>
      <c r="C256" s="5"/>
      <c r="D256" s="6"/>
      <c r="E256" s="7"/>
      <c r="Q256" s="7"/>
      <c r="W256" s="7"/>
      <c r="Y256" s="8"/>
    </row>
    <row r="257" spans="1:25" x14ac:dyDescent="0.3">
      <c r="A257" s="3" t="s">
        <v>414</v>
      </c>
      <c r="B257" s="5"/>
      <c r="C257" s="5"/>
      <c r="D257" s="6"/>
      <c r="E257" s="7"/>
      <c r="Q257" s="7"/>
      <c r="W257" s="7"/>
      <c r="Y257" s="8"/>
    </row>
    <row r="258" spans="1:25" x14ac:dyDescent="0.3">
      <c r="A258" s="3" t="s">
        <v>415</v>
      </c>
      <c r="B258" s="5"/>
      <c r="C258" s="5"/>
      <c r="D258" s="6"/>
      <c r="E258" s="7"/>
      <c r="Q258" s="7"/>
      <c r="W258" s="7"/>
      <c r="Y258" s="8"/>
    </row>
    <row r="259" spans="1:25" x14ac:dyDescent="0.3">
      <c r="A259" s="3" t="s">
        <v>416</v>
      </c>
      <c r="B259" s="5"/>
      <c r="C259" s="5"/>
      <c r="D259" s="6"/>
      <c r="E259" s="7"/>
      <c r="Q259" s="7"/>
      <c r="W259" s="7"/>
      <c r="Y259" s="8"/>
    </row>
    <row r="260" spans="1:25" x14ac:dyDescent="0.3">
      <c r="A260" s="3" t="s">
        <v>417</v>
      </c>
      <c r="B260" s="5"/>
      <c r="C260" s="5"/>
      <c r="D260" s="6"/>
      <c r="E260" s="7"/>
      <c r="Q260" s="7"/>
      <c r="W260" s="7"/>
      <c r="Y260" s="8"/>
    </row>
    <row r="261" spans="1:25" x14ac:dyDescent="0.3">
      <c r="A261" s="3" t="s">
        <v>418</v>
      </c>
      <c r="B261" s="5"/>
      <c r="C261" s="5"/>
      <c r="D261" s="6"/>
      <c r="E261" s="7"/>
      <c r="Q261" s="7"/>
      <c r="W261" s="7"/>
      <c r="Y261" s="8"/>
    </row>
    <row r="262" spans="1:25" x14ac:dyDescent="0.3">
      <c r="A262" s="3" t="s">
        <v>419</v>
      </c>
      <c r="B262" s="5"/>
      <c r="C262" s="5"/>
      <c r="D262" s="6"/>
      <c r="E262" s="7"/>
      <c r="Q262" s="7"/>
      <c r="W262" s="7"/>
      <c r="Y262" s="8"/>
    </row>
    <row r="263" spans="1:25" x14ac:dyDescent="0.3">
      <c r="A263" s="3" t="s">
        <v>420</v>
      </c>
      <c r="B263" s="5"/>
      <c r="C263" s="5"/>
      <c r="D263" s="6"/>
      <c r="E263" s="7"/>
      <c r="Q263" s="7"/>
      <c r="W263" s="7"/>
      <c r="Y263" s="8"/>
    </row>
    <row r="264" spans="1:25" x14ac:dyDescent="0.3">
      <c r="A264" s="3" t="s">
        <v>421</v>
      </c>
      <c r="B264" s="5"/>
      <c r="C264" s="5"/>
      <c r="D264" s="6"/>
      <c r="E264" s="7"/>
      <c r="Q264" s="7"/>
      <c r="W264" s="7"/>
      <c r="Y264" s="8"/>
    </row>
    <row r="265" spans="1:25" x14ac:dyDescent="0.3">
      <c r="A265" s="3" t="s">
        <v>422</v>
      </c>
      <c r="B265" s="5"/>
      <c r="C265" s="5"/>
      <c r="D265" s="6"/>
      <c r="E265" s="7"/>
      <c r="Q265" s="7"/>
      <c r="W265" s="7"/>
      <c r="Y265" s="8"/>
    </row>
    <row r="266" spans="1:25" x14ac:dyDescent="0.3">
      <c r="A266" s="3" t="s">
        <v>423</v>
      </c>
      <c r="B266" s="5"/>
      <c r="C266" s="5"/>
      <c r="D266" s="6"/>
      <c r="E266" s="7"/>
      <c r="Q266" s="7"/>
      <c r="W266" s="7"/>
      <c r="Y266" s="8"/>
    </row>
    <row r="267" spans="1:25" x14ac:dyDescent="0.3">
      <c r="A267" s="3" t="s">
        <v>424</v>
      </c>
      <c r="B267" s="5"/>
      <c r="C267" s="5"/>
      <c r="D267" s="6"/>
      <c r="E267" s="7"/>
      <c r="Q267" s="7"/>
      <c r="W267" s="7"/>
      <c r="Y267" s="8"/>
    </row>
    <row r="268" spans="1:25" x14ac:dyDescent="0.3">
      <c r="A268" s="3" t="s">
        <v>425</v>
      </c>
      <c r="B268" s="5"/>
      <c r="C268" s="5"/>
      <c r="D268" s="6"/>
      <c r="E268" s="7"/>
      <c r="Q268" s="7"/>
      <c r="W268" s="7"/>
      <c r="Y268" s="8"/>
    </row>
    <row r="269" spans="1:25" x14ac:dyDescent="0.3">
      <c r="A269" s="3" t="s">
        <v>426</v>
      </c>
      <c r="B269" s="5"/>
      <c r="C269" s="5"/>
      <c r="D269" s="6"/>
      <c r="E269" s="7"/>
      <c r="Q269" s="7"/>
      <c r="W269" s="7"/>
      <c r="Y269" s="8"/>
    </row>
    <row r="270" spans="1:25" x14ac:dyDescent="0.3">
      <c r="A270" s="3" t="s">
        <v>427</v>
      </c>
      <c r="B270" s="5"/>
      <c r="C270" s="5"/>
      <c r="D270" s="6"/>
      <c r="E270" s="7"/>
      <c r="Q270" s="7"/>
      <c r="W270" s="7"/>
      <c r="Y270" s="8"/>
    </row>
    <row r="271" spans="1:25" x14ac:dyDescent="0.3">
      <c r="A271" s="3" t="s">
        <v>428</v>
      </c>
      <c r="B271" s="5"/>
      <c r="C271" s="5"/>
      <c r="D271" s="6"/>
      <c r="E271" s="7"/>
      <c r="Q271" s="7"/>
      <c r="W271" s="7"/>
      <c r="Y271" s="8"/>
    </row>
    <row r="272" spans="1:25" x14ac:dyDescent="0.3">
      <c r="A272" s="3" t="s">
        <v>429</v>
      </c>
      <c r="B272" s="5"/>
      <c r="C272" s="5"/>
      <c r="D272" s="6"/>
      <c r="E272" s="7"/>
      <c r="Q272" s="7"/>
      <c r="W272" s="7"/>
      <c r="Y272" s="8"/>
    </row>
    <row r="273" spans="1:25" x14ac:dyDescent="0.3">
      <c r="A273" s="3" t="s">
        <v>430</v>
      </c>
      <c r="B273" s="5"/>
      <c r="C273" s="5"/>
      <c r="D273" s="6"/>
      <c r="E273" s="7"/>
      <c r="Q273" s="7"/>
      <c r="W273" s="7"/>
      <c r="Y273" s="8"/>
    </row>
    <row r="274" spans="1:25" x14ac:dyDescent="0.3">
      <c r="A274" s="3" t="s">
        <v>431</v>
      </c>
      <c r="B274" s="5"/>
      <c r="C274" s="5"/>
      <c r="D274" s="6"/>
      <c r="E274" s="7"/>
      <c r="Q274" s="7"/>
      <c r="W274" s="7"/>
      <c r="Y274" s="8"/>
    </row>
    <row r="275" spans="1:25" x14ac:dyDescent="0.3">
      <c r="A275" s="3" t="s">
        <v>432</v>
      </c>
      <c r="B275" s="5"/>
      <c r="C275" s="5"/>
      <c r="D275" s="6"/>
      <c r="E275" s="7"/>
      <c r="Q275" s="7"/>
      <c r="W275" s="7"/>
      <c r="Y275" s="8"/>
    </row>
    <row r="276" spans="1:25" x14ac:dyDescent="0.3">
      <c r="A276" s="3" t="s">
        <v>433</v>
      </c>
      <c r="B276" s="5"/>
      <c r="C276" s="5"/>
      <c r="D276" s="6"/>
      <c r="E276" s="7"/>
      <c r="Q276" s="7"/>
      <c r="W276" s="7"/>
      <c r="Y276" s="8"/>
    </row>
    <row r="277" spans="1:25" x14ac:dyDescent="0.3">
      <c r="A277" s="3" t="s">
        <v>434</v>
      </c>
      <c r="B277" s="5"/>
      <c r="C277" s="5"/>
      <c r="D277" s="6"/>
      <c r="E277" s="7"/>
      <c r="Q277" s="7"/>
      <c r="W277" s="7"/>
      <c r="Y277" s="8"/>
    </row>
    <row r="278" spans="1:25" x14ac:dyDescent="0.3">
      <c r="A278" s="3" t="s">
        <v>435</v>
      </c>
      <c r="B278" s="5"/>
      <c r="C278" s="5"/>
      <c r="D278" s="6"/>
      <c r="E278" s="7"/>
      <c r="Q278" s="7"/>
      <c r="W278" s="7"/>
      <c r="Y278" s="8"/>
    </row>
    <row r="279" spans="1:25" x14ac:dyDescent="0.3">
      <c r="A279" s="3" t="s">
        <v>436</v>
      </c>
      <c r="B279" s="5"/>
      <c r="C279" s="5"/>
      <c r="D279" s="6"/>
      <c r="E279" s="7"/>
      <c r="Q279" s="7"/>
      <c r="W279" s="7"/>
      <c r="Y279" s="8"/>
    </row>
    <row r="280" spans="1:25" x14ac:dyDescent="0.3">
      <c r="A280" s="3" t="s">
        <v>437</v>
      </c>
      <c r="B280" s="5"/>
      <c r="C280" s="5"/>
      <c r="D280" s="6"/>
      <c r="E280" s="7"/>
      <c r="Q280" s="7"/>
      <c r="W280" s="7"/>
      <c r="Y280" s="8"/>
    </row>
    <row r="281" spans="1:25" x14ac:dyDescent="0.3">
      <c r="A281" s="3" t="s">
        <v>438</v>
      </c>
      <c r="B281" s="5"/>
      <c r="C281" s="5"/>
      <c r="D281" s="6"/>
      <c r="E281" s="7"/>
      <c r="Q281" s="7"/>
      <c r="W281" s="7"/>
      <c r="Y281" s="8"/>
    </row>
    <row r="282" spans="1:25" x14ac:dyDescent="0.3">
      <c r="A282" s="3" t="s">
        <v>439</v>
      </c>
      <c r="B282" s="5"/>
      <c r="C282" s="5"/>
      <c r="D282" s="6"/>
      <c r="E282" s="7"/>
      <c r="Q282" s="7"/>
      <c r="W282" s="7"/>
      <c r="Y282" s="8"/>
    </row>
    <row r="283" spans="1:25" x14ac:dyDescent="0.3">
      <c r="A283" s="3" t="s">
        <v>440</v>
      </c>
      <c r="B283" s="5"/>
      <c r="C283" s="5"/>
      <c r="D283" s="6"/>
      <c r="E283" s="7"/>
      <c r="Q283" s="7"/>
      <c r="W283" s="7"/>
      <c r="Y283" s="8"/>
    </row>
    <row r="284" spans="1:25" x14ac:dyDescent="0.3">
      <c r="A284" s="3" t="s">
        <v>441</v>
      </c>
      <c r="B284" s="5"/>
      <c r="C284" s="5"/>
      <c r="D284" s="6"/>
      <c r="E284" s="7"/>
      <c r="Q284" s="7"/>
      <c r="W284" s="7"/>
      <c r="Y284" s="8"/>
    </row>
    <row r="285" spans="1:25" x14ac:dyDescent="0.3">
      <c r="A285" s="3" t="s">
        <v>442</v>
      </c>
      <c r="B285" s="5"/>
      <c r="C285" s="5"/>
      <c r="D285" s="6"/>
      <c r="E285" s="7"/>
      <c r="Q285" s="7"/>
      <c r="W285" s="7"/>
      <c r="Y285" s="8"/>
    </row>
    <row r="286" spans="1:25" x14ac:dyDescent="0.3">
      <c r="A286" s="3" t="s">
        <v>443</v>
      </c>
      <c r="B286" s="5"/>
      <c r="C286" s="5"/>
      <c r="D286" s="6"/>
      <c r="E286" s="7"/>
      <c r="Q286" s="7"/>
      <c r="W286" s="7"/>
      <c r="Y286" s="8"/>
    </row>
    <row r="287" spans="1:25" x14ac:dyDescent="0.3">
      <c r="A287" s="3" t="s">
        <v>444</v>
      </c>
      <c r="B287" s="5"/>
      <c r="C287" s="5"/>
      <c r="D287" s="6"/>
      <c r="E287" s="7"/>
      <c r="Q287" s="7"/>
      <c r="W287" s="7"/>
      <c r="Y287" s="8"/>
    </row>
    <row r="288" spans="1:25" x14ac:dyDescent="0.3">
      <c r="A288" s="3" t="s">
        <v>445</v>
      </c>
      <c r="B288" s="5"/>
      <c r="C288" s="5"/>
      <c r="D288" s="6"/>
      <c r="E288" s="7"/>
      <c r="Q288" s="7"/>
      <c r="W288" s="7"/>
      <c r="Y288" s="8"/>
    </row>
    <row r="289" spans="1:25" x14ac:dyDescent="0.3">
      <c r="A289" s="3" t="s">
        <v>446</v>
      </c>
      <c r="B289" s="5"/>
      <c r="C289" s="5"/>
      <c r="D289" s="6"/>
      <c r="E289" s="7"/>
      <c r="Q289" s="7"/>
      <c r="W289" s="7"/>
      <c r="Y289" s="8"/>
    </row>
    <row r="290" spans="1:25" x14ac:dyDescent="0.3">
      <c r="A290" s="3" t="s">
        <v>447</v>
      </c>
      <c r="B290" s="5"/>
      <c r="C290" s="5"/>
      <c r="D290" s="6"/>
      <c r="E290" s="7"/>
      <c r="Q290" s="7"/>
      <c r="W290" s="7"/>
      <c r="Y290" s="8"/>
    </row>
    <row r="291" spans="1:25" x14ac:dyDescent="0.3">
      <c r="A291" s="3" t="s">
        <v>448</v>
      </c>
      <c r="B291" s="5"/>
      <c r="C291" s="5"/>
      <c r="D291" s="6"/>
      <c r="E291" s="7"/>
      <c r="Q291" s="7"/>
      <c r="W291" s="7"/>
      <c r="Y291" s="8"/>
    </row>
    <row r="292" spans="1:25" x14ac:dyDescent="0.3">
      <c r="A292" s="3" t="s">
        <v>449</v>
      </c>
      <c r="B292" s="5"/>
      <c r="C292" s="5"/>
      <c r="D292" s="6"/>
      <c r="E292" s="7"/>
      <c r="Q292" s="7"/>
      <c r="W292" s="7"/>
      <c r="Y292" s="8"/>
    </row>
    <row r="293" spans="1:25" x14ac:dyDescent="0.3">
      <c r="A293" s="3" t="s">
        <v>450</v>
      </c>
      <c r="B293" s="5"/>
      <c r="C293" s="5"/>
      <c r="D293" s="6"/>
      <c r="E293" s="7"/>
      <c r="Q293" s="7"/>
      <c r="W293" s="7"/>
      <c r="Y293" s="8"/>
    </row>
    <row r="294" spans="1:25" x14ac:dyDescent="0.3">
      <c r="A294" s="3" t="s">
        <v>451</v>
      </c>
      <c r="B294" s="5"/>
      <c r="C294" s="5"/>
      <c r="D294" s="6"/>
      <c r="E294" s="7"/>
      <c r="Q294" s="7"/>
      <c r="W294" s="7"/>
      <c r="Y294" s="8"/>
    </row>
    <row r="295" spans="1:25" x14ac:dyDescent="0.3">
      <c r="A295" s="3" t="s">
        <v>452</v>
      </c>
      <c r="B295" s="5"/>
      <c r="C295" s="5"/>
      <c r="D295" s="6"/>
      <c r="E295" s="7"/>
      <c r="Q295" s="7"/>
      <c r="W295" s="7"/>
      <c r="Y295" s="8"/>
    </row>
    <row r="296" spans="1:25" x14ac:dyDescent="0.3">
      <c r="A296" s="3" t="s">
        <v>453</v>
      </c>
      <c r="B296" s="5"/>
      <c r="C296" s="5"/>
      <c r="D296" s="6"/>
      <c r="E296" s="7"/>
      <c r="Q296" s="7"/>
      <c r="W296" s="7"/>
      <c r="Y296" s="8"/>
    </row>
    <row r="297" spans="1:25" x14ac:dyDescent="0.3">
      <c r="A297" s="3" t="s">
        <v>454</v>
      </c>
      <c r="B297" s="5"/>
      <c r="C297" s="5"/>
      <c r="D297" s="6"/>
      <c r="E297" s="7"/>
      <c r="Q297" s="7"/>
      <c r="W297" s="7"/>
      <c r="Y297" s="8"/>
    </row>
    <row r="298" spans="1:25" x14ac:dyDescent="0.3">
      <c r="A298" s="3" t="s">
        <v>455</v>
      </c>
      <c r="B298" s="5"/>
      <c r="C298" s="5"/>
      <c r="D298" s="6"/>
      <c r="E298" s="7"/>
      <c r="Q298" s="7"/>
      <c r="W298" s="7"/>
      <c r="Y298" s="8"/>
    </row>
    <row r="299" spans="1:25" x14ac:dyDescent="0.3">
      <c r="A299" s="3" t="s">
        <v>456</v>
      </c>
      <c r="B299" s="5"/>
      <c r="C299" s="5"/>
      <c r="D299" s="6"/>
      <c r="E299" s="7"/>
      <c r="Q299" s="7"/>
      <c r="W299" s="7"/>
      <c r="Y299" s="8"/>
    </row>
    <row r="300" spans="1:25" x14ac:dyDescent="0.3">
      <c r="A300" s="3" t="s">
        <v>457</v>
      </c>
      <c r="B300" s="5"/>
      <c r="C300" s="5"/>
      <c r="D300" s="6"/>
      <c r="E300" s="7"/>
      <c r="Q300" s="7"/>
      <c r="W300" s="7"/>
      <c r="Y300" s="8"/>
    </row>
    <row r="301" spans="1:25" x14ac:dyDescent="0.3">
      <c r="A301" s="3" t="s">
        <v>458</v>
      </c>
      <c r="B301" s="5"/>
      <c r="C301" s="5"/>
      <c r="D301" s="6"/>
      <c r="E301" s="7"/>
      <c r="Q301" s="7"/>
      <c r="W301" s="7"/>
      <c r="Y301" s="8"/>
    </row>
    <row r="302" spans="1:25" x14ac:dyDescent="0.3">
      <c r="A302" s="3" t="s">
        <v>459</v>
      </c>
      <c r="B302" s="5"/>
      <c r="C302" s="5"/>
      <c r="D302" s="6"/>
      <c r="E302" s="7"/>
      <c r="Q302" s="7"/>
      <c r="W302" s="7"/>
      <c r="Y302" s="8"/>
    </row>
    <row r="303" spans="1:25" x14ac:dyDescent="0.3">
      <c r="A303" s="3" t="s">
        <v>460</v>
      </c>
      <c r="B303" s="5"/>
      <c r="C303" s="5"/>
      <c r="D303" s="6"/>
      <c r="E303" s="7"/>
      <c r="Q303" s="7"/>
      <c r="W303" s="7"/>
      <c r="Y303" s="8"/>
    </row>
    <row r="304" spans="1:25" x14ac:dyDescent="0.3">
      <c r="A304" s="3" t="s">
        <v>461</v>
      </c>
      <c r="B304" s="5"/>
      <c r="C304" s="5"/>
      <c r="D304" s="6"/>
      <c r="E304" s="7"/>
      <c r="Q304" s="7"/>
      <c r="W304" s="7"/>
      <c r="Y304" s="8"/>
    </row>
    <row r="305" spans="1:25" x14ac:dyDescent="0.3">
      <c r="A305" s="3" t="s">
        <v>462</v>
      </c>
      <c r="B305" s="5"/>
      <c r="C305" s="5"/>
      <c r="D305" s="6"/>
      <c r="E305" s="7"/>
      <c r="Q305" s="7"/>
      <c r="W305" s="7"/>
      <c r="Y305" s="8"/>
    </row>
    <row r="306" spans="1:25" x14ac:dyDescent="0.3">
      <c r="A306" s="3" t="s">
        <v>463</v>
      </c>
      <c r="B306" s="5"/>
      <c r="C306" s="5"/>
      <c r="D306" s="6"/>
      <c r="E306" s="7"/>
      <c r="Q306" s="7"/>
      <c r="W306" s="7"/>
      <c r="Y306" s="8"/>
    </row>
    <row r="307" spans="1:25" x14ac:dyDescent="0.3">
      <c r="A307" s="3" t="s">
        <v>464</v>
      </c>
      <c r="B307" s="5"/>
      <c r="C307" s="5"/>
      <c r="D307" s="6"/>
      <c r="E307" s="7"/>
      <c r="Q307" s="7"/>
      <c r="W307" s="7"/>
      <c r="Y307" s="8"/>
    </row>
    <row r="308" spans="1:25" x14ac:dyDescent="0.3">
      <c r="A308" s="3" t="s">
        <v>465</v>
      </c>
      <c r="B308" s="5"/>
      <c r="C308" s="5"/>
      <c r="D308" s="6"/>
      <c r="E308" s="7"/>
      <c r="Q308" s="7"/>
      <c r="W308" s="7"/>
      <c r="Y308" s="8"/>
    </row>
    <row r="309" spans="1:25" x14ac:dyDescent="0.3">
      <c r="A309" s="3" t="s">
        <v>466</v>
      </c>
      <c r="B309" s="5"/>
      <c r="C309" s="5"/>
      <c r="D309" s="6"/>
      <c r="E309" s="7"/>
      <c r="Q309" s="7"/>
      <c r="W309" s="7"/>
      <c r="Y309" s="8"/>
    </row>
    <row r="310" spans="1:25" x14ac:dyDescent="0.3">
      <c r="A310" s="3" t="s">
        <v>467</v>
      </c>
      <c r="B310" s="5"/>
      <c r="C310" s="5"/>
      <c r="D310" s="6"/>
      <c r="E310" s="7"/>
      <c r="Q310" s="7"/>
      <c r="W310" s="7"/>
      <c r="Y310" s="8"/>
    </row>
    <row r="311" spans="1:25" x14ac:dyDescent="0.3">
      <c r="A311" s="3" t="s">
        <v>468</v>
      </c>
      <c r="B311" s="5"/>
      <c r="C311" s="5"/>
      <c r="D311" s="6"/>
      <c r="E311" s="7"/>
      <c r="Q311" s="7"/>
      <c r="W311" s="7"/>
      <c r="Y311" s="8"/>
    </row>
    <row r="312" spans="1:25" x14ac:dyDescent="0.3">
      <c r="A312" s="3" t="s">
        <v>469</v>
      </c>
      <c r="B312" s="5"/>
      <c r="C312" s="5"/>
      <c r="D312" s="6"/>
      <c r="E312" s="7"/>
      <c r="Q312" s="7"/>
      <c r="W312" s="7"/>
      <c r="Y312" s="8"/>
    </row>
    <row r="313" spans="1:25" x14ac:dyDescent="0.3">
      <c r="A313" s="3" t="s">
        <v>470</v>
      </c>
      <c r="B313" s="5"/>
      <c r="C313" s="5"/>
      <c r="D313" s="6"/>
      <c r="E313" s="7"/>
      <c r="Q313" s="7"/>
      <c r="W313" s="7"/>
      <c r="Y313" s="8"/>
    </row>
    <row r="314" spans="1:25" x14ac:dyDescent="0.3">
      <c r="A314" s="3" t="s">
        <v>471</v>
      </c>
      <c r="B314" s="5"/>
      <c r="C314" s="5"/>
      <c r="D314" s="6"/>
      <c r="E314" s="7"/>
      <c r="Q314" s="7"/>
      <c r="W314" s="7"/>
      <c r="Y314" s="8"/>
    </row>
    <row r="315" spans="1:25" x14ac:dyDescent="0.3">
      <c r="A315" s="3" t="s">
        <v>472</v>
      </c>
      <c r="B315" s="5"/>
      <c r="C315" s="5"/>
      <c r="D315" s="6"/>
      <c r="E315" s="7"/>
      <c r="Q315" s="7"/>
      <c r="W315" s="7"/>
      <c r="Y315" s="8"/>
    </row>
    <row r="316" spans="1:25" x14ac:dyDescent="0.3">
      <c r="A316" s="3" t="s">
        <v>473</v>
      </c>
      <c r="B316" s="5"/>
      <c r="C316" s="5"/>
      <c r="D316" s="6"/>
      <c r="E316" s="7"/>
      <c r="Q316" s="7"/>
      <c r="W316" s="7"/>
      <c r="Y316" s="8"/>
    </row>
    <row r="317" spans="1:25" x14ac:dyDescent="0.3">
      <c r="A317" s="3" t="s">
        <v>474</v>
      </c>
      <c r="B317" s="5"/>
      <c r="C317" s="5"/>
      <c r="D317" s="6"/>
      <c r="E317" s="7"/>
      <c r="Q317" s="7"/>
      <c r="W317" s="7"/>
      <c r="Y317" s="8"/>
    </row>
    <row r="318" spans="1:25" x14ac:dyDescent="0.3">
      <c r="A318" s="3" t="s">
        <v>475</v>
      </c>
      <c r="B318" s="5"/>
      <c r="C318" s="5"/>
      <c r="D318" s="6"/>
      <c r="E318" s="7"/>
      <c r="Q318" s="7"/>
      <c r="W318" s="7"/>
      <c r="Y318" s="8"/>
    </row>
    <row r="319" spans="1:25" x14ac:dyDescent="0.3">
      <c r="A319" s="3" t="s">
        <v>476</v>
      </c>
      <c r="B319" s="5"/>
      <c r="C319" s="5"/>
      <c r="D319" s="6"/>
      <c r="E319" s="7"/>
      <c r="Q319" s="7"/>
      <c r="W319" s="7"/>
      <c r="Y319" s="8"/>
    </row>
    <row r="320" spans="1:25" x14ac:dyDescent="0.3">
      <c r="A320" s="3" t="s">
        <v>477</v>
      </c>
      <c r="B320" s="5"/>
      <c r="C320" s="5"/>
      <c r="D320" s="6"/>
      <c r="E320" s="7"/>
      <c r="Q320" s="7"/>
      <c r="W320" s="7"/>
      <c r="Y320" s="8"/>
    </row>
    <row r="321" spans="1:25" x14ac:dyDescent="0.3">
      <c r="A321" s="3" t="s">
        <v>478</v>
      </c>
      <c r="B321" s="5"/>
      <c r="C321" s="5"/>
      <c r="D321" s="6"/>
      <c r="E321" s="7"/>
      <c r="Q321" s="7"/>
      <c r="W321" s="7"/>
      <c r="Y321" s="8"/>
    </row>
    <row r="322" spans="1:25" x14ac:dyDescent="0.3">
      <c r="A322" s="3" t="s">
        <v>479</v>
      </c>
      <c r="B322" s="5"/>
      <c r="C322" s="5"/>
      <c r="D322" s="6"/>
      <c r="E322" s="7"/>
      <c r="Q322" s="7"/>
      <c r="W322" s="7"/>
      <c r="Y322" s="8"/>
    </row>
    <row r="323" spans="1:25" x14ac:dyDescent="0.3">
      <c r="A323" s="3" t="s">
        <v>480</v>
      </c>
      <c r="B323" s="5"/>
      <c r="C323" s="5"/>
      <c r="D323" s="6"/>
      <c r="E323" s="7"/>
      <c r="Q323" s="7"/>
      <c r="W323" s="7"/>
      <c r="Y323" s="8"/>
    </row>
    <row r="324" spans="1:25" x14ac:dyDescent="0.3">
      <c r="A324" s="3" t="s">
        <v>481</v>
      </c>
      <c r="B324" s="5"/>
      <c r="C324" s="5"/>
      <c r="D324" s="6"/>
      <c r="E324" s="7"/>
      <c r="Q324" s="7"/>
      <c r="W324" s="7"/>
      <c r="Y324" s="8"/>
    </row>
    <row r="325" spans="1:25" x14ac:dyDescent="0.3">
      <c r="A325" s="3" t="s">
        <v>482</v>
      </c>
      <c r="B325" s="5"/>
      <c r="C325" s="5"/>
      <c r="D325" s="6"/>
      <c r="E325" s="7"/>
      <c r="Q325" s="7"/>
      <c r="W325" s="7"/>
      <c r="Y325" s="8"/>
    </row>
    <row r="326" spans="1:25" x14ac:dyDescent="0.3">
      <c r="A326" s="3" t="s">
        <v>483</v>
      </c>
      <c r="B326" s="5"/>
      <c r="C326" s="5"/>
      <c r="D326" s="6"/>
      <c r="E326" s="7"/>
      <c r="Q326" s="7"/>
      <c r="W326" s="7"/>
      <c r="Y326" s="8"/>
    </row>
    <row r="327" spans="1:25" x14ac:dyDescent="0.3">
      <c r="A327" s="3" t="s">
        <v>484</v>
      </c>
      <c r="B327" s="5"/>
      <c r="C327" s="5"/>
      <c r="D327" s="6"/>
      <c r="E327" s="7"/>
      <c r="Q327" s="7"/>
      <c r="W327" s="7"/>
      <c r="Y327" s="8"/>
    </row>
    <row r="328" spans="1:25" x14ac:dyDescent="0.3">
      <c r="A328" s="3" t="s">
        <v>485</v>
      </c>
      <c r="B328" s="5"/>
      <c r="C328" s="5"/>
      <c r="D328" s="6"/>
      <c r="E328" s="7"/>
      <c r="Q328" s="7"/>
      <c r="W328" s="7"/>
      <c r="Y328" s="8"/>
    </row>
    <row r="329" spans="1:25" x14ac:dyDescent="0.3">
      <c r="A329" s="3" t="s">
        <v>486</v>
      </c>
      <c r="B329" s="5"/>
      <c r="C329" s="5"/>
      <c r="D329" s="6"/>
      <c r="E329" s="7"/>
      <c r="Q329" s="7"/>
      <c r="W329" s="7"/>
      <c r="Y329" s="8"/>
    </row>
    <row r="330" spans="1:25" x14ac:dyDescent="0.3">
      <c r="A330" s="3" t="s">
        <v>487</v>
      </c>
      <c r="B330" s="5"/>
      <c r="C330" s="5"/>
      <c r="D330" s="6"/>
      <c r="E330" s="7"/>
      <c r="Q330" s="7"/>
      <c r="W330" s="7"/>
      <c r="Y330" s="8"/>
    </row>
    <row r="331" spans="1:25" x14ac:dyDescent="0.3">
      <c r="A331" s="3" t="s">
        <v>488</v>
      </c>
      <c r="B331" s="5"/>
      <c r="C331" s="5"/>
      <c r="D331" s="6"/>
      <c r="E331" s="7"/>
      <c r="Q331" s="7"/>
      <c r="W331" s="7"/>
      <c r="Y331" s="8"/>
    </row>
    <row r="332" spans="1:25" x14ac:dyDescent="0.3">
      <c r="A332" s="3" t="s">
        <v>489</v>
      </c>
      <c r="B332" s="5"/>
      <c r="C332" s="5"/>
      <c r="D332" s="6"/>
      <c r="E332" s="7"/>
      <c r="Q332" s="7"/>
      <c r="W332" s="7"/>
      <c r="Y332" s="8"/>
    </row>
    <row r="333" spans="1:25" x14ac:dyDescent="0.3">
      <c r="A333" s="3" t="s">
        <v>490</v>
      </c>
      <c r="B333" s="5"/>
      <c r="C333" s="5"/>
      <c r="D333" s="6"/>
      <c r="E333" s="7"/>
      <c r="Q333" s="7"/>
      <c r="W333" s="7"/>
      <c r="Y333" s="8"/>
    </row>
    <row r="334" spans="1:25" x14ac:dyDescent="0.3">
      <c r="A334" s="3" t="s">
        <v>491</v>
      </c>
      <c r="B334" s="5"/>
      <c r="C334" s="5"/>
      <c r="D334" s="6"/>
      <c r="E334" s="7"/>
      <c r="Q334" s="7"/>
      <c r="W334" s="7"/>
      <c r="Y334" s="8"/>
    </row>
    <row r="335" spans="1:25" x14ac:dyDescent="0.3">
      <c r="A335" s="3" t="s">
        <v>492</v>
      </c>
      <c r="B335" s="5"/>
      <c r="C335" s="5"/>
      <c r="D335" s="6"/>
      <c r="E335" s="7"/>
      <c r="Q335" s="7"/>
      <c r="W335" s="7"/>
      <c r="Y335" s="8"/>
    </row>
    <row r="336" spans="1:25" x14ac:dyDescent="0.3">
      <c r="A336" s="3" t="s">
        <v>493</v>
      </c>
      <c r="B336" s="5"/>
      <c r="C336" s="5"/>
      <c r="D336" s="6"/>
      <c r="E336" s="7"/>
      <c r="Q336" s="7"/>
      <c r="W336" s="7"/>
      <c r="Y336" s="8"/>
    </row>
    <row r="337" spans="1:25" x14ac:dyDescent="0.3">
      <c r="A337" s="3" t="s">
        <v>494</v>
      </c>
      <c r="B337" s="5"/>
      <c r="C337" s="5"/>
      <c r="D337" s="6"/>
      <c r="E337" s="7"/>
      <c r="Q337" s="7"/>
      <c r="W337" s="7"/>
      <c r="Y337" s="8"/>
    </row>
    <row r="338" spans="1:25" x14ac:dyDescent="0.3">
      <c r="A338" s="3" t="s">
        <v>495</v>
      </c>
      <c r="B338" s="5"/>
      <c r="C338" s="5"/>
      <c r="D338" s="6"/>
      <c r="E338" s="7"/>
      <c r="Q338" s="7"/>
      <c r="W338" s="7"/>
      <c r="Y338" s="8"/>
    </row>
    <row r="339" spans="1:25" x14ac:dyDescent="0.3">
      <c r="A339" s="3" t="s">
        <v>496</v>
      </c>
      <c r="B339" s="5"/>
      <c r="C339" s="5"/>
      <c r="D339" s="6"/>
      <c r="E339" s="7"/>
      <c r="Q339" s="7"/>
      <c r="W339" s="7"/>
      <c r="Y339" s="8"/>
    </row>
    <row r="340" spans="1:25" x14ac:dyDescent="0.3">
      <c r="A340" s="3" t="s">
        <v>497</v>
      </c>
      <c r="B340" s="5"/>
      <c r="C340" s="5"/>
      <c r="D340" s="6"/>
      <c r="E340" s="7"/>
      <c r="Q340" s="7"/>
      <c r="W340" s="7"/>
      <c r="Y340" s="8"/>
    </row>
    <row r="341" spans="1:25" x14ac:dyDescent="0.3">
      <c r="A341" s="3" t="s">
        <v>498</v>
      </c>
      <c r="B341" s="5"/>
      <c r="C341" s="5"/>
      <c r="D341" s="6"/>
      <c r="E341" s="7"/>
      <c r="Q341" s="7"/>
      <c r="W341" s="7"/>
      <c r="Y341" s="8"/>
    </row>
    <row r="342" spans="1:25" x14ac:dyDescent="0.3">
      <c r="A342" s="3" t="s">
        <v>499</v>
      </c>
      <c r="B342" s="5"/>
      <c r="C342" s="5"/>
      <c r="D342" s="6"/>
      <c r="E342" s="7"/>
      <c r="Q342" s="7"/>
      <c r="W342" s="7"/>
      <c r="Y342" s="8"/>
    </row>
    <row r="343" spans="1:25" x14ac:dyDescent="0.3">
      <c r="A343" s="3" t="s">
        <v>500</v>
      </c>
      <c r="B343" s="5"/>
      <c r="C343" s="5"/>
      <c r="D343" s="6"/>
      <c r="E343" s="7"/>
      <c r="Q343" s="7"/>
      <c r="W343" s="7"/>
      <c r="Y343" s="8"/>
    </row>
    <row r="344" spans="1:25" x14ac:dyDescent="0.3">
      <c r="A344" s="3" t="s">
        <v>501</v>
      </c>
      <c r="B344" s="5"/>
      <c r="C344" s="5"/>
      <c r="D344" s="6"/>
      <c r="E344" s="7"/>
      <c r="Q344" s="7"/>
      <c r="W344" s="7"/>
      <c r="Y344" s="8"/>
    </row>
    <row r="345" spans="1:25" x14ac:dyDescent="0.3">
      <c r="A345" s="3" t="s">
        <v>502</v>
      </c>
      <c r="B345" s="5"/>
      <c r="C345" s="5"/>
      <c r="D345" s="6"/>
      <c r="E345" s="7"/>
      <c r="Q345" s="7"/>
      <c r="W345" s="7"/>
      <c r="Y345" s="8"/>
    </row>
    <row r="346" spans="1:25" x14ac:dyDescent="0.3">
      <c r="A346" s="3" t="s">
        <v>503</v>
      </c>
      <c r="B346" s="5"/>
      <c r="C346" s="5"/>
      <c r="D346" s="6"/>
      <c r="E346" s="7"/>
      <c r="Q346" s="7"/>
      <c r="W346" s="7"/>
      <c r="Y346" s="8"/>
    </row>
    <row r="347" spans="1:25" x14ac:dyDescent="0.3">
      <c r="A347" s="3" t="s">
        <v>504</v>
      </c>
      <c r="B347" s="5"/>
      <c r="C347" s="5"/>
      <c r="D347" s="6"/>
      <c r="E347" s="7"/>
      <c r="Q347" s="7"/>
      <c r="W347" s="7"/>
      <c r="Y347" s="8"/>
    </row>
    <row r="348" spans="1:25" x14ac:dyDescent="0.3">
      <c r="A348" s="3" t="s">
        <v>505</v>
      </c>
      <c r="B348" s="5"/>
      <c r="C348" s="5"/>
      <c r="D348" s="6"/>
      <c r="E348" s="7"/>
      <c r="Q348" s="7"/>
      <c r="W348" s="7"/>
      <c r="Y348" s="8"/>
    </row>
    <row r="349" spans="1:25" x14ac:dyDescent="0.3">
      <c r="A349" s="3" t="s">
        <v>506</v>
      </c>
      <c r="B349" s="5"/>
      <c r="C349" s="5"/>
      <c r="D349" s="6"/>
      <c r="E349" s="7"/>
      <c r="Q349" s="7"/>
      <c r="W349" s="7"/>
      <c r="Y349" s="8"/>
    </row>
    <row r="350" spans="1:25" x14ac:dyDescent="0.3">
      <c r="A350" s="3" t="s">
        <v>507</v>
      </c>
      <c r="B350" s="5"/>
      <c r="C350" s="5"/>
      <c r="D350" s="6"/>
      <c r="E350" s="7"/>
      <c r="Q350" s="7"/>
      <c r="W350" s="7"/>
      <c r="Y350" s="8"/>
    </row>
    <row r="351" spans="1:25" x14ac:dyDescent="0.3">
      <c r="A351" s="3" t="s">
        <v>508</v>
      </c>
      <c r="B351" s="5"/>
      <c r="C351" s="5"/>
      <c r="D351" s="6"/>
      <c r="E351" s="7"/>
      <c r="Q351" s="7"/>
      <c r="W351" s="7"/>
      <c r="Y351" s="8"/>
    </row>
    <row r="352" spans="1:25" x14ac:dyDescent="0.3">
      <c r="A352" s="3" t="s">
        <v>509</v>
      </c>
      <c r="B352" s="5"/>
      <c r="C352" s="5"/>
      <c r="D352" s="6"/>
      <c r="E352" s="7"/>
      <c r="Q352" s="7"/>
      <c r="W352" s="7"/>
      <c r="Y352" s="8"/>
    </row>
    <row r="353" spans="1:25" x14ac:dyDescent="0.3">
      <c r="A353" s="3" t="s">
        <v>510</v>
      </c>
      <c r="B353" s="5"/>
      <c r="C353" s="5"/>
      <c r="D353" s="6"/>
      <c r="E353" s="7"/>
      <c r="Q353" s="7"/>
      <c r="W353" s="7"/>
      <c r="Y353" s="8"/>
    </row>
    <row r="354" spans="1:25" x14ac:dyDescent="0.3">
      <c r="A354" s="3" t="s">
        <v>511</v>
      </c>
      <c r="B354" s="5"/>
      <c r="C354" s="5"/>
      <c r="D354" s="6"/>
      <c r="E354" s="7"/>
      <c r="Q354" s="7"/>
      <c r="W354" s="7"/>
      <c r="Y354" s="8"/>
    </row>
    <row r="355" spans="1:25" x14ac:dyDescent="0.3">
      <c r="A355" s="3" t="s">
        <v>512</v>
      </c>
      <c r="B355" s="5"/>
      <c r="C355" s="5"/>
      <c r="D355" s="6"/>
      <c r="E355" s="7"/>
      <c r="Q355" s="7"/>
      <c r="W355" s="7"/>
      <c r="Y355" s="8"/>
    </row>
    <row r="356" spans="1:25" x14ac:dyDescent="0.3">
      <c r="A356" s="3" t="s">
        <v>513</v>
      </c>
      <c r="B356" s="5"/>
      <c r="C356" s="5"/>
      <c r="D356" s="6"/>
      <c r="E356" s="7"/>
      <c r="Q356" s="7"/>
      <c r="W356" s="7"/>
      <c r="Y356" s="8"/>
    </row>
    <row r="357" spans="1:25" x14ac:dyDescent="0.3">
      <c r="A357" s="3" t="s">
        <v>514</v>
      </c>
      <c r="B357" s="5"/>
      <c r="C357" s="5"/>
      <c r="D357" s="6"/>
      <c r="E357" s="7"/>
      <c r="Q357" s="7"/>
      <c r="W357" s="7"/>
      <c r="Y357" s="8"/>
    </row>
    <row r="358" spans="1:25" x14ac:dyDescent="0.3">
      <c r="A358" s="3" t="s">
        <v>515</v>
      </c>
      <c r="B358" s="5"/>
      <c r="C358" s="5"/>
      <c r="D358" s="6"/>
      <c r="E358" s="7"/>
      <c r="Q358" s="7"/>
      <c r="W358" s="7"/>
      <c r="Y358" s="8"/>
    </row>
    <row r="359" spans="1:25" x14ac:dyDescent="0.3">
      <c r="A359" s="3" t="s">
        <v>516</v>
      </c>
      <c r="B359" s="5"/>
      <c r="C359" s="5"/>
      <c r="D359" s="6"/>
      <c r="E359" s="7"/>
      <c r="Q359" s="7"/>
      <c r="W359" s="7"/>
      <c r="Y359" s="8"/>
    </row>
    <row r="360" spans="1:25" x14ac:dyDescent="0.3">
      <c r="A360" s="3" t="s">
        <v>517</v>
      </c>
      <c r="B360" s="5"/>
      <c r="C360" s="5"/>
      <c r="D360" s="6"/>
      <c r="E360" s="7"/>
      <c r="Q360" s="7"/>
      <c r="W360" s="7"/>
      <c r="Y360" s="8"/>
    </row>
    <row r="361" spans="1:25" x14ac:dyDescent="0.3">
      <c r="A361" s="3" t="s">
        <v>518</v>
      </c>
      <c r="B361" s="5"/>
      <c r="C361" s="5"/>
      <c r="D361" s="6"/>
      <c r="E361" s="7"/>
      <c r="Q361" s="7"/>
      <c r="W361" s="7"/>
      <c r="Y361" s="8"/>
    </row>
    <row r="362" spans="1:25" x14ac:dyDescent="0.3">
      <c r="A362" s="3" t="s">
        <v>519</v>
      </c>
      <c r="B362" s="5"/>
      <c r="C362" s="5"/>
      <c r="D362" s="6"/>
      <c r="E362" s="7"/>
      <c r="Q362" s="7"/>
      <c r="W362" s="7"/>
      <c r="Y362" s="8"/>
    </row>
    <row r="363" spans="1:25" x14ac:dyDescent="0.3">
      <c r="A363" s="3" t="s">
        <v>520</v>
      </c>
      <c r="B363" s="5"/>
      <c r="C363" s="5"/>
      <c r="D363" s="6"/>
      <c r="E363" s="7"/>
      <c r="Q363" s="7"/>
      <c r="W363" s="7"/>
      <c r="Y363" s="8"/>
    </row>
    <row r="364" spans="1:25" x14ac:dyDescent="0.3">
      <c r="A364" s="3" t="s">
        <v>521</v>
      </c>
      <c r="B364" s="5"/>
      <c r="C364" s="5"/>
      <c r="D364" s="6"/>
      <c r="E364" s="7"/>
      <c r="Q364" s="7"/>
      <c r="W364" s="7"/>
      <c r="Y364" s="8"/>
    </row>
    <row r="365" spans="1:25" x14ac:dyDescent="0.3">
      <c r="A365" s="3" t="s">
        <v>522</v>
      </c>
      <c r="B365" s="5"/>
      <c r="C365" s="5"/>
      <c r="D365" s="6"/>
      <c r="E365" s="7"/>
      <c r="Q365" s="7"/>
      <c r="W365" s="7"/>
      <c r="Y365" s="8"/>
    </row>
    <row r="366" spans="1:25" x14ac:dyDescent="0.3">
      <c r="A366" s="3" t="s">
        <v>523</v>
      </c>
      <c r="B366" s="5"/>
      <c r="C366" s="5"/>
      <c r="D366" s="6"/>
      <c r="E366" s="7"/>
      <c r="Q366" s="7"/>
      <c r="W366" s="7"/>
      <c r="Y366" s="8"/>
    </row>
    <row r="367" spans="1:25" x14ac:dyDescent="0.3">
      <c r="A367" s="3" t="s">
        <v>524</v>
      </c>
      <c r="B367" s="5"/>
      <c r="C367" s="5"/>
      <c r="D367" s="6"/>
      <c r="E367" s="7"/>
      <c r="Q367" s="7"/>
      <c r="W367" s="7"/>
      <c r="Y367" s="8"/>
    </row>
    <row r="368" spans="1:25" x14ac:dyDescent="0.3">
      <c r="A368" s="3" t="s">
        <v>525</v>
      </c>
      <c r="B368" s="5"/>
      <c r="C368" s="5"/>
      <c r="D368" s="6"/>
      <c r="E368" s="7"/>
      <c r="Q368" s="7"/>
      <c r="W368" s="7"/>
      <c r="Y368" s="8"/>
    </row>
    <row r="369" spans="1:25" x14ac:dyDescent="0.3">
      <c r="A369" s="3" t="s">
        <v>526</v>
      </c>
      <c r="B369" s="5"/>
      <c r="C369" s="5"/>
      <c r="D369" s="6"/>
      <c r="E369" s="7"/>
      <c r="Q369" s="7"/>
      <c r="W369" s="7"/>
      <c r="Y369" s="8"/>
    </row>
    <row r="370" spans="1:25" x14ac:dyDescent="0.3">
      <c r="A370" s="3" t="s">
        <v>527</v>
      </c>
      <c r="B370" s="5"/>
      <c r="C370" s="5"/>
      <c r="D370" s="6"/>
      <c r="E370" s="7"/>
      <c r="Q370" s="7"/>
      <c r="W370" s="7"/>
      <c r="Y370" s="8"/>
    </row>
    <row r="371" spans="1:25" x14ac:dyDescent="0.3">
      <c r="A371" s="3" t="s">
        <v>528</v>
      </c>
      <c r="B371" s="5"/>
      <c r="C371" s="5"/>
      <c r="D371" s="6"/>
      <c r="E371" s="7"/>
      <c r="Q371" s="7"/>
      <c r="W371" s="7"/>
      <c r="Y371" s="8"/>
    </row>
    <row r="372" spans="1:25" x14ac:dyDescent="0.3">
      <c r="A372" s="3" t="s">
        <v>529</v>
      </c>
      <c r="B372" s="5"/>
      <c r="C372" s="5"/>
      <c r="D372" s="6"/>
      <c r="E372" s="7"/>
      <c r="Q372" s="7"/>
      <c r="W372" s="7"/>
      <c r="Y372" s="8"/>
    </row>
    <row r="373" spans="1:25" x14ac:dyDescent="0.3">
      <c r="A373" s="3" t="s">
        <v>530</v>
      </c>
      <c r="B373" s="5"/>
      <c r="C373" s="5"/>
      <c r="D373" s="6"/>
      <c r="E373" s="7"/>
      <c r="Q373" s="7"/>
      <c r="W373" s="7"/>
      <c r="Y373" s="8"/>
    </row>
    <row r="374" spans="1:25" x14ac:dyDescent="0.3">
      <c r="A374" s="3" t="s">
        <v>531</v>
      </c>
      <c r="B374" s="5"/>
      <c r="C374" s="5"/>
      <c r="D374" s="6"/>
      <c r="E374" s="7"/>
      <c r="Q374" s="7"/>
      <c r="W374" s="7"/>
      <c r="Y374" s="8"/>
    </row>
    <row r="375" spans="1:25" x14ac:dyDescent="0.3">
      <c r="A375" s="3" t="s">
        <v>532</v>
      </c>
      <c r="B375" s="5"/>
      <c r="C375" s="5"/>
      <c r="D375" s="6"/>
      <c r="E375" s="7"/>
      <c r="Q375" s="7"/>
      <c r="W375" s="7"/>
      <c r="Y375" s="8"/>
    </row>
    <row r="376" spans="1:25" x14ac:dyDescent="0.3">
      <c r="A376" s="3" t="s">
        <v>533</v>
      </c>
      <c r="B376" s="5"/>
      <c r="C376" s="5"/>
      <c r="D376" s="6"/>
      <c r="E376" s="7"/>
      <c r="Q376" s="7"/>
      <c r="W376" s="7"/>
      <c r="Y376" s="8"/>
    </row>
    <row r="377" spans="1:25" x14ac:dyDescent="0.3">
      <c r="A377" s="3" t="s">
        <v>534</v>
      </c>
      <c r="B377" s="5"/>
      <c r="C377" s="5"/>
      <c r="D377" s="6"/>
      <c r="E377" s="7"/>
      <c r="Q377" s="7"/>
      <c r="W377" s="7"/>
      <c r="Y377" s="8"/>
    </row>
    <row r="378" spans="1:25" x14ac:dyDescent="0.3">
      <c r="A378" s="3" t="s">
        <v>535</v>
      </c>
      <c r="B378" s="5"/>
      <c r="C378" s="5"/>
      <c r="D378" s="6"/>
      <c r="E378" s="7"/>
      <c r="Q378" s="7"/>
      <c r="W378" s="7"/>
      <c r="Y378" s="8"/>
    </row>
    <row r="379" spans="1:25" x14ac:dyDescent="0.3">
      <c r="A379" s="3" t="s">
        <v>536</v>
      </c>
      <c r="B379" s="5"/>
      <c r="C379" s="5"/>
      <c r="D379" s="6"/>
      <c r="E379" s="7"/>
      <c r="Q379" s="7"/>
      <c r="W379" s="7"/>
      <c r="Y379" s="8"/>
    </row>
    <row r="380" spans="1:25" x14ac:dyDescent="0.3">
      <c r="A380" s="3" t="s">
        <v>537</v>
      </c>
      <c r="B380" s="5"/>
      <c r="C380" s="5"/>
      <c r="D380" s="6"/>
      <c r="E380" s="7"/>
      <c r="Q380" s="7"/>
      <c r="W380" s="7"/>
      <c r="Y380" s="8"/>
    </row>
    <row r="381" spans="1:25" x14ac:dyDescent="0.3">
      <c r="A381" s="3" t="s">
        <v>538</v>
      </c>
      <c r="B381" s="5"/>
      <c r="C381" s="5"/>
      <c r="D381" s="6"/>
      <c r="E381" s="7"/>
      <c r="Q381" s="7"/>
      <c r="W381" s="7"/>
      <c r="Y381" s="8"/>
    </row>
    <row r="382" spans="1:25" x14ac:dyDescent="0.3">
      <c r="A382" s="3" t="s">
        <v>539</v>
      </c>
      <c r="B382" s="5"/>
      <c r="C382" s="5"/>
      <c r="D382" s="6"/>
      <c r="E382" s="7"/>
      <c r="Q382" s="7"/>
      <c r="W382" s="7"/>
      <c r="Y382" s="8"/>
    </row>
    <row r="383" spans="1:25" x14ac:dyDescent="0.3">
      <c r="A383" s="3" t="s">
        <v>540</v>
      </c>
      <c r="B383" s="5"/>
      <c r="C383" s="5"/>
      <c r="D383" s="6"/>
      <c r="E383" s="7"/>
      <c r="Q383" s="7"/>
      <c r="W383" s="7"/>
      <c r="Y383" s="8"/>
    </row>
    <row r="384" spans="1:25" x14ac:dyDescent="0.3">
      <c r="A384" s="3" t="s">
        <v>541</v>
      </c>
      <c r="B384" s="5"/>
      <c r="C384" s="5"/>
      <c r="D384" s="6"/>
      <c r="E384" s="7"/>
      <c r="Q384" s="7"/>
      <c r="W384" s="7"/>
      <c r="Y384" s="8"/>
    </row>
    <row r="385" spans="1:25" x14ac:dyDescent="0.3">
      <c r="A385" s="3" t="s">
        <v>542</v>
      </c>
      <c r="B385" s="5"/>
      <c r="C385" s="5"/>
      <c r="D385" s="6"/>
      <c r="E385" s="7"/>
      <c r="Q385" s="7"/>
      <c r="W385" s="7"/>
      <c r="Y385" s="8"/>
    </row>
    <row r="386" spans="1:25" x14ac:dyDescent="0.3">
      <c r="A386" s="3" t="s">
        <v>543</v>
      </c>
      <c r="B386" s="5"/>
      <c r="C386" s="5"/>
      <c r="D386" s="6"/>
      <c r="E386" s="7"/>
      <c r="Q386" s="7"/>
      <c r="W386" s="7"/>
      <c r="Y386" s="8"/>
    </row>
    <row r="387" spans="1:25" x14ac:dyDescent="0.3">
      <c r="A387" s="3" t="s">
        <v>544</v>
      </c>
      <c r="B387" s="5"/>
      <c r="C387" s="5"/>
      <c r="D387" s="6"/>
      <c r="E387" s="7"/>
      <c r="Q387" s="7"/>
      <c r="W387" s="7"/>
      <c r="Y387" s="8"/>
    </row>
    <row r="388" spans="1:25" x14ac:dyDescent="0.3">
      <c r="A388" s="3" t="s">
        <v>545</v>
      </c>
      <c r="B388" s="5"/>
      <c r="C388" s="5"/>
      <c r="D388" s="6"/>
      <c r="E388" s="7"/>
      <c r="Q388" s="7"/>
      <c r="W388" s="7"/>
      <c r="Y388" s="8"/>
    </row>
    <row r="389" spans="1:25" x14ac:dyDescent="0.3">
      <c r="A389" s="3" t="s">
        <v>546</v>
      </c>
      <c r="B389" s="5"/>
      <c r="C389" s="5"/>
      <c r="D389" s="6"/>
      <c r="E389" s="7"/>
      <c r="Q389" s="7"/>
      <c r="W389" s="7"/>
      <c r="Y389" s="8"/>
    </row>
    <row r="390" spans="1:25" x14ac:dyDescent="0.3">
      <c r="A390" s="3" t="s">
        <v>547</v>
      </c>
      <c r="B390" s="5"/>
      <c r="C390" s="5"/>
      <c r="D390" s="6"/>
      <c r="E390" s="7"/>
      <c r="Q390" s="7"/>
      <c r="W390" s="7"/>
      <c r="Y390" s="8"/>
    </row>
    <row r="391" spans="1:25" x14ac:dyDescent="0.3">
      <c r="A391" s="3" t="s">
        <v>548</v>
      </c>
      <c r="B391" s="5"/>
      <c r="C391" s="5"/>
      <c r="D391" s="6"/>
      <c r="E391" s="7"/>
      <c r="Q391" s="7"/>
      <c r="W391" s="7"/>
      <c r="Y391" s="8"/>
    </row>
    <row r="392" spans="1:25" x14ac:dyDescent="0.3">
      <c r="A392" s="3" t="s">
        <v>549</v>
      </c>
      <c r="B392" s="5"/>
      <c r="C392" s="5"/>
      <c r="D392" s="6"/>
      <c r="E392" s="7"/>
      <c r="Q392" s="7"/>
      <c r="W392" s="7"/>
      <c r="Y392" s="8"/>
    </row>
    <row r="393" spans="1:25" x14ac:dyDescent="0.3">
      <c r="A393" s="3" t="s">
        <v>550</v>
      </c>
      <c r="B393" s="5"/>
      <c r="C393" s="5"/>
      <c r="D393" s="6"/>
      <c r="E393" s="7"/>
      <c r="Q393" s="7"/>
      <c r="W393" s="7"/>
      <c r="Y393" s="8"/>
    </row>
    <row r="394" spans="1:25" x14ac:dyDescent="0.3">
      <c r="A394" s="3" t="s">
        <v>551</v>
      </c>
      <c r="B394" s="5"/>
      <c r="C394" s="5"/>
      <c r="D394" s="6"/>
      <c r="E394" s="7"/>
      <c r="Q394" s="7"/>
      <c r="W394" s="7"/>
      <c r="Y394" s="8"/>
    </row>
    <row r="395" spans="1:25" x14ac:dyDescent="0.3">
      <c r="A395" s="3" t="s">
        <v>552</v>
      </c>
      <c r="B395" s="5"/>
      <c r="C395" s="5"/>
      <c r="D395" s="6"/>
      <c r="E395" s="7"/>
      <c r="Q395" s="7"/>
      <c r="W395" s="7"/>
      <c r="Y395" s="8"/>
    </row>
    <row r="396" spans="1:25" x14ac:dyDescent="0.3">
      <c r="A396" s="3" t="s">
        <v>553</v>
      </c>
      <c r="B396" s="5"/>
      <c r="C396" s="5"/>
      <c r="D396" s="6"/>
      <c r="E396" s="7"/>
      <c r="Q396" s="7"/>
      <c r="W396" s="7"/>
      <c r="Y396" s="8"/>
    </row>
    <row r="397" spans="1:25" x14ac:dyDescent="0.3">
      <c r="A397" s="3" t="s">
        <v>554</v>
      </c>
      <c r="B397" s="5"/>
      <c r="C397" s="5"/>
      <c r="D397" s="6"/>
      <c r="E397" s="7"/>
      <c r="Q397" s="7"/>
      <c r="W397" s="7"/>
      <c r="Y397" s="8"/>
    </row>
    <row r="398" spans="1:25" x14ac:dyDescent="0.3">
      <c r="A398" s="3" t="s">
        <v>555</v>
      </c>
      <c r="B398" s="5"/>
      <c r="C398" s="5"/>
      <c r="D398" s="6"/>
      <c r="E398" s="7"/>
      <c r="Q398" s="7"/>
      <c r="W398" s="7"/>
      <c r="Y398" s="8"/>
    </row>
    <row r="399" spans="1:25" x14ac:dyDescent="0.3">
      <c r="A399" s="3" t="s">
        <v>556</v>
      </c>
      <c r="B399" s="5"/>
      <c r="C399" s="5"/>
      <c r="D399" s="6"/>
      <c r="E399" s="7"/>
      <c r="Q399" s="7"/>
      <c r="W399" s="7"/>
      <c r="Y399" s="8"/>
    </row>
    <row r="400" spans="1:25" x14ac:dyDescent="0.3">
      <c r="A400" s="3" t="s">
        <v>557</v>
      </c>
      <c r="B400" s="5"/>
      <c r="C400" s="5"/>
      <c r="D400" s="6"/>
      <c r="E400" s="7"/>
      <c r="Q400" s="7"/>
      <c r="W400" s="7"/>
      <c r="Y400" s="8"/>
    </row>
    <row r="401" spans="1:25" x14ac:dyDescent="0.3">
      <c r="A401" s="3" t="s">
        <v>558</v>
      </c>
      <c r="B401" s="5"/>
      <c r="C401" s="5"/>
      <c r="D401" s="6"/>
      <c r="E401" s="7"/>
      <c r="Q401" s="7"/>
      <c r="W401" s="7"/>
      <c r="Y401" s="8"/>
    </row>
    <row r="402" spans="1:25" x14ac:dyDescent="0.3">
      <c r="A402" s="3" t="s">
        <v>559</v>
      </c>
      <c r="B402" s="5"/>
      <c r="C402" s="5"/>
      <c r="D402" s="6"/>
      <c r="E402" s="7"/>
      <c r="Q402" s="7"/>
      <c r="W402" s="7"/>
      <c r="Y402" s="8"/>
    </row>
    <row r="403" spans="1:25" x14ac:dyDescent="0.3">
      <c r="A403" s="3" t="s">
        <v>560</v>
      </c>
      <c r="B403" s="5"/>
      <c r="C403" s="5"/>
      <c r="D403" s="6"/>
      <c r="E403" s="7"/>
      <c r="Q403" s="7"/>
      <c r="W403" s="7"/>
      <c r="Y403" s="8"/>
    </row>
    <row r="404" spans="1:25" x14ac:dyDescent="0.3">
      <c r="A404" s="3" t="s">
        <v>561</v>
      </c>
      <c r="B404" s="5"/>
      <c r="C404" s="5"/>
      <c r="D404" s="6"/>
      <c r="E404" s="7"/>
      <c r="Q404" s="7"/>
      <c r="W404" s="7"/>
      <c r="Y404" s="8"/>
    </row>
    <row r="405" spans="1:25" x14ac:dyDescent="0.3">
      <c r="A405" s="3" t="s">
        <v>562</v>
      </c>
      <c r="B405" s="5"/>
      <c r="C405" s="5"/>
      <c r="D405" s="6"/>
      <c r="E405" s="7"/>
      <c r="Q405" s="7"/>
      <c r="W405" s="7"/>
      <c r="Y405" s="8"/>
    </row>
    <row r="406" spans="1:25" x14ac:dyDescent="0.3">
      <c r="A406" s="3" t="s">
        <v>563</v>
      </c>
      <c r="B406" s="5"/>
      <c r="C406" s="5"/>
      <c r="D406" s="6"/>
      <c r="E406" s="7"/>
      <c r="Q406" s="7"/>
      <c r="W406" s="7"/>
      <c r="Y406" s="8"/>
    </row>
    <row r="407" spans="1:25" x14ac:dyDescent="0.3">
      <c r="A407" s="3" t="s">
        <v>564</v>
      </c>
      <c r="B407" s="5"/>
      <c r="C407" s="5"/>
      <c r="D407" s="6"/>
      <c r="E407" s="7"/>
      <c r="Q407" s="7"/>
      <c r="W407" s="7"/>
      <c r="Y407" s="8"/>
    </row>
    <row r="408" spans="1:25" x14ac:dyDescent="0.3">
      <c r="A408" s="3" t="s">
        <v>565</v>
      </c>
      <c r="B408" s="5"/>
      <c r="C408" s="5"/>
      <c r="D408" s="6"/>
      <c r="E408" s="7"/>
      <c r="Q408" s="7"/>
      <c r="W408" s="7"/>
      <c r="Y408" s="8"/>
    </row>
    <row r="409" spans="1:25" x14ac:dyDescent="0.3">
      <c r="A409" s="3" t="s">
        <v>566</v>
      </c>
      <c r="B409" s="5"/>
      <c r="C409" s="5"/>
      <c r="D409" s="6"/>
      <c r="E409" s="7"/>
      <c r="Q409" s="7"/>
      <c r="W409" s="7"/>
      <c r="Y409" s="8"/>
    </row>
    <row r="410" spans="1:25" x14ac:dyDescent="0.3">
      <c r="A410" s="3" t="s">
        <v>567</v>
      </c>
      <c r="B410" s="5"/>
      <c r="C410" s="5"/>
      <c r="D410" s="6"/>
      <c r="E410" s="7"/>
      <c r="Q410" s="7"/>
      <c r="W410" s="7"/>
      <c r="Y410" s="8"/>
    </row>
    <row r="411" spans="1:25" x14ac:dyDescent="0.3">
      <c r="A411" s="3" t="s">
        <v>568</v>
      </c>
      <c r="B411" s="5"/>
      <c r="C411" s="5"/>
      <c r="D411" s="6"/>
      <c r="E411" s="7"/>
      <c r="Q411" s="7"/>
      <c r="W411" s="7"/>
      <c r="Y411" s="8"/>
    </row>
    <row r="412" spans="1:25" x14ac:dyDescent="0.3">
      <c r="A412" s="3" t="s">
        <v>569</v>
      </c>
      <c r="B412" s="5"/>
      <c r="C412" s="5"/>
      <c r="D412" s="6"/>
      <c r="E412" s="7"/>
      <c r="Q412" s="7"/>
      <c r="W412" s="7"/>
      <c r="Y412" s="8"/>
    </row>
    <row r="413" spans="1:25" x14ac:dyDescent="0.3">
      <c r="A413" s="3" t="s">
        <v>570</v>
      </c>
      <c r="B413" s="5"/>
      <c r="C413" s="5"/>
      <c r="D413" s="6"/>
      <c r="E413" s="7"/>
      <c r="Q413" s="7"/>
      <c r="W413" s="7"/>
      <c r="Y413" s="8"/>
    </row>
    <row r="414" spans="1:25" x14ac:dyDescent="0.3">
      <c r="A414" s="3" t="s">
        <v>571</v>
      </c>
      <c r="B414" s="5"/>
      <c r="C414" s="5"/>
      <c r="D414" s="6"/>
      <c r="E414" s="7"/>
      <c r="Q414" s="7"/>
      <c r="W414" s="7"/>
      <c r="Y414" s="8"/>
    </row>
    <row r="415" spans="1:25" x14ac:dyDescent="0.3">
      <c r="A415" s="3" t="s">
        <v>572</v>
      </c>
      <c r="B415" s="5"/>
      <c r="C415" s="5"/>
      <c r="D415" s="6"/>
      <c r="E415" s="7"/>
      <c r="Q415" s="7"/>
      <c r="W415" s="7"/>
      <c r="Y415" s="8"/>
    </row>
    <row r="416" spans="1:25" x14ac:dyDescent="0.3">
      <c r="A416" s="3" t="s">
        <v>573</v>
      </c>
      <c r="B416" s="5"/>
      <c r="C416" s="5"/>
      <c r="D416" s="6"/>
      <c r="E416" s="7"/>
      <c r="Q416" s="7"/>
      <c r="W416" s="7"/>
      <c r="Y416" s="8"/>
    </row>
    <row r="417" spans="1:25" x14ac:dyDescent="0.3">
      <c r="A417" s="3" t="s">
        <v>574</v>
      </c>
      <c r="B417" s="5"/>
      <c r="C417" s="5"/>
      <c r="D417" s="6"/>
      <c r="E417" s="7"/>
      <c r="Q417" s="7"/>
      <c r="W417" s="7"/>
      <c r="Y417" s="8"/>
    </row>
    <row r="418" spans="1:25" x14ac:dyDescent="0.3">
      <c r="A418" s="3" t="s">
        <v>575</v>
      </c>
      <c r="B418" s="5"/>
      <c r="C418" s="5"/>
      <c r="D418" s="6"/>
      <c r="E418" s="7"/>
      <c r="Q418" s="7"/>
      <c r="W418" s="7"/>
      <c r="Y418" s="8"/>
    </row>
    <row r="419" spans="1:25" x14ac:dyDescent="0.3">
      <c r="A419" s="3" t="s">
        <v>576</v>
      </c>
      <c r="B419" s="5"/>
      <c r="C419" s="5"/>
      <c r="D419" s="6"/>
      <c r="E419" s="7"/>
      <c r="Q419" s="7"/>
      <c r="W419" s="7"/>
      <c r="Y419" s="8"/>
    </row>
    <row r="420" spans="1:25" x14ac:dyDescent="0.3">
      <c r="A420" s="3" t="s">
        <v>577</v>
      </c>
      <c r="B420" s="5"/>
      <c r="C420" s="5"/>
      <c r="D420" s="6"/>
      <c r="E420" s="7"/>
      <c r="Q420" s="7"/>
      <c r="W420" s="7"/>
      <c r="Y420" s="8"/>
    </row>
    <row r="421" spans="1:25" x14ac:dyDescent="0.3">
      <c r="A421" s="3" t="s">
        <v>578</v>
      </c>
      <c r="B421" s="5"/>
      <c r="C421" s="5"/>
      <c r="D421" s="6"/>
      <c r="E421" s="7"/>
      <c r="Q421" s="7"/>
      <c r="W421" s="7"/>
      <c r="Y421" s="8"/>
    </row>
    <row r="422" spans="1:25" x14ac:dyDescent="0.3">
      <c r="A422" s="3" t="s">
        <v>579</v>
      </c>
      <c r="B422" s="5"/>
      <c r="C422" s="5"/>
      <c r="D422" s="6"/>
      <c r="E422" s="7"/>
      <c r="Q422" s="7"/>
      <c r="W422" s="7"/>
      <c r="Y422" s="8"/>
    </row>
    <row r="423" spans="1:25" x14ac:dyDescent="0.3">
      <c r="A423" s="3" t="s">
        <v>580</v>
      </c>
      <c r="B423" s="5"/>
      <c r="C423" s="5"/>
      <c r="D423" s="6"/>
      <c r="E423" s="7"/>
      <c r="Q423" s="7"/>
      <c r="W423" s="7"/>
      <c r="Y423" s="8"/>
    </row>
    <row r="424" spans="1:25" x14ac:dyDescent="0.3">
      <c r="A424" s="3" t="s">
        <v>581</v>
      </c>
      <c r="B424" s="5"/>
      <c r="C424" s="5"/>
      <c r="D424" s="6"/>
      <c r="E424" s="7"/>
      <c r="Q424" s="7"/>
      <c r="W424" s="7"/>
      <c r="Y424" s="8"/>
    </row>
    <row r="425" spans="1:25" x14ac:dyDescent="0.3">
      <c r="A425" s="3" t="s">
        <v>582</v>
      </c>
      <c r="B425" s="5"/>
      <c r="C425" s="5"/>
      <c r="D425" s="6"/>
      <c r="E425" s="7"/>
      <c r="Q425" s="7"/>
      <c r="W425" s="7"/>
      <c r="Y425" s="8"/>
    </row>
    <row r="426" spans="1:25" x14ac:dyDescent="0.3">
      <c r="A426" s="3" t="s">
        <v>583</v>
      </c>
      <c r="B426" s="5"/>
      <c r="C426" s="5"/>
      <c r="D426" s="6"/>
      <c r="E426" s="7"/>
      <c r="Q426" s="7"/>
      <c r="W426" s="7"/>
      <c r="Y426" s="8"/>
    </row>
    <row r="427" spans="1:25" x14ac:dyDescent="0.3">
      <c r="A427" s="3" t="s">
        <v>584</v>
      </c>
      <c r="B427" s="5"/>
      <c r="C427" s="5"/>
      <c r="D427" s="6"/>
      <c r="E427" s="7"/>
      <c r="Q427" s="7"/>
      <c r="W427" s="7"/>
      <c r="Y427" s="8"/>
    </row>
    <row r="428" spans="1:25" x14ac:dyDescent="0.3">
      <c r="A428" s="3" t="s">
        <v>585</v>
      </c>
      <c r="B428" s="5"/>
      <c r="C428" s="5"/>
      <c r="D428" s="6"/>
      <c r="E428" s="7"/>
      <c r="Q428" s="7"/>
      <c r="W428" s="7"/>
      <c r="Y428" s="8"/>
    </row>
    <row r="429" spans="1:25" x14ac:dyDescent="0.3">
      <c r="A429" s="3" t="s">
        <v>586</v>
      </c>
      <c r="B429" s="5"/>
      <c r="C429" s="5"/>
      <c r="D429" s="6"/>
      <c r="E429" s="7"/>
      <c r="Q429" s="7"/>
      <c r="W429" s="7"/>
      <c r="Y429" s="8"/>
    </row>
    <row r="430" spans="1:25" x14ac:dyDescent="0.3">
      <c r="A430" s="3" t="s">
        <v>587</v>
      </c>
      <c r="B430" s="5"/>
      <c r="C430" s="5"/>
      <c r="D430" s="6"/>
      <c r="E430" s="7"/>
      <c r="Q430" s="7"/>
      <c r="W430" s="7"/>
      <c r="Y430" s="8"/>
    </row>
    <row r="431" spans="1:25" x14ac:dyDescent="0.3">
      <c r="A431" s="3" t="s">
        <v>588</v>
      </c>
      <c r="B431" s="5"/>
      <c r="C431" s="5"/>
      <c r="D431" s="6"/>
      <c r="E431" s="7"/>
      <c r="Q431" s="7"/>
      <c r="W431" s="7"/>
      <c r="Y431" s="8"/>
    </row>
    <row r="432" spans="1:25" x14ac:dyDescent="0.3">
      <c r="A432" s="3" t="s">
        <v>589</v>
      </c>
      <c r="B432" s="5"/>
      <c r="C432" s="5"/>
      <c r="D432" s="6"/>
      <c r="E432" s="7"/>
      <c r="Q432" s="7"/>
      <c r="W432" s="7"/>
      <c r="Y432" s="8"/>
    </row>
    <row r="433" spans="1:25" x14ac:dyDescent="0.3">
      <c r="A433" s="3" t="s">
        <v>590</v>
      </c>
      <c r="B433" s="5"/>
      <c r="C433" s="5"/>
      <c r="D433" s="6"/>
      <c r="E433" s="7"/>
      <c r="Q433" s="7"/>
      <c r="W433" s="7"/>
      <c r="Y433" s="8"/>
    </row>
    <row r="434" spans="1:25" x14ac:dyDescent="0.3">
      <c r="A434" s="3" t="s">
        <v>591</v>
      </c>
      <c r="B434" s="5"/>
      <c r="C434" s="5"/>
      <c r="D434" s="6"/>
      <c r="E434" s="7"/>
      <c r="Q434" s="7"/>
      <c r="W434" s="7"/>
      <c r="Y434" s="8"/>
    </row>
    <row r="435" spans="1:25" x14ac:dyDescent="0.3">
      <c r="A435" s="3" t="s">
        <v>592</v>
      </c>
      <c r="B435" s="5"/>
      <c r="C435" s="5"/>
      <c r="D435" s="6"/>
      <c r="E435" s="7"/>
      <c r="Q435" s="7"/>
      <c r="W435" s="7"/>
      <c r="Y435" s="8"/>
    </row>
    <row r="436" spans="1:25" x14ac:dyDescent="0.3">
      <c r="A436" s="3" t="s">
        <v>593</v>
      </c>
      <c r="B436" s="5"/>
      <c r="C436" s="5"/>
      <c r="D436" s="6"/>
      <c r="E436" s="7"/>
      <c r="Q436" s="7"/>
      <c r="W436" s="7"/>
      <c r="Y436" s="8"/>
    </row>
    <row r="437" spans="1:25" x14ac:dyDescent="0.3">
      <c r="A437" s="3" t="s">
        <v>594</v>
      </c>
      <c r="B437" s="5"/>
      <c r="C437" s="5"/>
      <c r="D437" s="6"/>
      <c r="E437" s="7"/>
      <c r="Q437" s="7"/>
      <c r="W437" s="7"/>
      <c r="Y437" s="8"/>
    </row>
    <row r="438" spans="1:25" x14ac:dyDescent="0.3">
      <c r="A438" s="3" t="s">
        <v>595</v>
      </c>
      <c r="B438" s="5"/>
      <c r="C438" s="5"/>
      <c r="D438" s="6"/>
      <c r="E438" s="7"/>
      <c r="Q438" s="7"/>
      <c r="W438" s="7"/>
      <c r="Y438" s="8"/>
    </row>
    <row r="439" spans="1:25" x14ac:dyDescent="0.3">
      <c r="A439" s="3" t="s">
        <v>596</v>
      </c>
      <c r="B439" s="5"/>
      <c r="C439" s="5"/>
      <c r="D439" s="6"/>
      <c r="E439" s="7"/>
      <c r="Q439" s="7"/>
      <c r="W439" s="7"/>
      <c r="Y439" s="8"/>
    </row>
    <row r="440" spans="1:25" x14ac:dyDescent="0.3">
      <c r="A440" s="3" t="s">
        <v>597</v>
      </c>
      <c r="B440" s="5"/>
      <c r="C440" s="5"/>
      <c r="D440" s="6"/>
      <c r="E440" s="7"/>
      <c r="Q440" s="7"/>
      <c r="W440" s="7"/>
      <c r="Y440" s="8"/>
    </row>
    <row r="441" spans="1:25" x14ac:dyDescent="0.3">
      <c r="A441" s="3" t="s">
        <v>598</v>
      </c>
      <c r="B441" s="5"/>
      <c r="C441" s="5"/>
      <c r="D441" s="6"/>
      <c r="E441" s="7"/>
      <c r="Q441" s="7"/>
      <c r="W441" s="7"/>
      <c r="Y441" s="8"/>
    </row>
    <row r="442" spans="1:25" x14ac:dyDescent="0.3">
      <c r="A442" s="3" t="s">
        <v>599</v>
      </c>
      <c r="B442" s="5"/>
      <c r="C442" s="5"/>
      <c r="D442" s="6"/>
      <c r="E442" s="7"/>
      <c r="Q442" s="7"/>
      <c r="W442" s="7"/>
      <c r="Y442" s="8"/>
    </row>
    <row r="443" spans="1:25" x14ac:dyDescent="0.3">
      <c r="A443" s="3" t="s">
        <v>600</v>
      </c>
      <c r="B443" s="5"/>
      <c r="C443" s="5"/>
      <c r="D443" s="6"/>
      <c r="E443" s="7"/>
      <c r="Q443" s="7"/>
      <c r="W443" s="7"/>
      <c r="Y443" s="8"/>
    </row>
    <row r="444" spans="1:25" x14ac:dyDescent="0.3">
      <c r="A444" s="3" t="s">
        <v>601</v>
      </c>
      <c r="B444" s="5"/>
      <c r="C444" s="5"/>
      <c r="D444" s="6"/>
      <c r="E444" s="7"/>
      <c r="Q444" s="7"/>
      <c r="W444" s="7"/>
      <c r="Y444" s="8"/>
    </row>
    <row r="445" spans="1:25" x14ac:dyDescent="0.3">
      <c r="A445" s="3" t="s">
        <v>602</v>
      </c>
      <c r="B445" s="5"/>
      <c r="C445" s="5"/>
      <c r="D445" s="6"/>
      <c r="E445" s="7"/>
      <c r="Q445" s="7"/>
      <c r="W445" s="7"/>
      <c r="Y445" s="8"/>
    </row>
    <row r="446" spans="1:25" x14ac:dyDescent="0.3">
      <c r="A446" s="3" t="s">
        <v>603</v>
      </c>
      <c r="B446" s="5"/>
      <c r="C446" s="5"/>
      <c r="D446" s="6"/>
      <c r="E446" s="7"/>
      <c r="Q446" s="7"/>
      <c r="W446" s="7"/>
      <c r="Y446" s="8"/>
    </row>
    <row r="447" spans="1:25" x14ac:dyDescent="0.3">
      <c r="A447" s="3" t="s">
        <v>604</v>
      </c>
      <c r="B447" s="5"/>
      <c r="C447" s="5"/>
      <c r="D447" s="6"/>
      <c r="E447" s="7"/>
      <c r="Q447" s="7"/>
      <c r="W447" s="7"/>
      <c r="Y447" s="8"/>
    </row>
    <row r="448" spans="1:25" x14ac:dyDescent="0.3">
      <c r="A448" s="3" t="s">
        <v>605</v>
      </c>
      <c r="B448" s="5"/>
      <c r="C448" s="5"/>
      <c r="D448" s="6"/>
      <c r="E448" s="7"/>
      <c r="Q448" s="7"/>
      <c r="W448" s="7"/>
      <c r="Y448" s="8"/>
    </row>
    <row r="449" spans="1:25" x14ac:dyDescent="0.3">
      <c r="A449" s="3" t="s">
        <v>606</v>
      </c>
      <c r="B449" s="5"/>
      <c r="C449" s="5"/>
      <c r="D449" s="6"/>
      <c r="E449" s="7"/>
      <c r="Q449" s="7"/>
      <c r="W449" s="7"/>
      <c r="Y449" s="8"/>
    </row>
    <row r="450" spans="1:25" x14ac:dyDescent="0.3">
      <c r="A450" s="3" t="s">
        <v>607</v>
      </c>
      <c r="B450" s="5"/>
      <c r="C450" s="5"/>
      <c r="D450" s="6"/>
      <c r="E450" s="7"/>
      <c r="Q450" s="7"/>
      <c r="W450" s="7"/>
      <c r="Y450" s="8"/>
    </row>
    <row r="451" spans="1:25" x14ac:dyDescent="0.3">
      <c r="A451" s="3" t="s">
        <v>608</v>
      </c>
      <c r="B451" s="5"/>
      <c r="C451" s="5"/>
      <c r="D451" s="6"/>
      <c r="E451" s="7"/>
      <c r="Q451" s="7"/>
      <c r="W451" s="7"/>
      <c r="Y451" s="8"/>
    </row>
    <row r="452" spans="1:25" x14ac:dyDescent="0.3">
      <c r="A452" s="3" t="s">
        <v>609</v>
      </c>
      <c r="B452" s="5"/>
      <c r="C452" s="5"/>
      <c r="D452" s="6"/>
      <c r="E452" s="7"/>
      <c r="Q452" s="7"/>
      <c r="W452" s="7"/>
      <c r="Y452" s="8"/>
    </row>
    <row r="453" spans="1:25" x14ac:dyDescent="0.3">
      <c r="A453" s="3" t="s">
        <v>610</v>
      </c>
      <c r="B453" s="5"/>
      <c r="C453" s="5"/>
      <c r="D453" s="6"/>
      <c r="E453" s="7"/>
      <c r="Q453" s="7"/>
      <c r="W453" s="7"/>
      <c r="Y453" s="8"/>
    </row>
    <row r="454" spans="1:25" x14ac:dyDescent="0.3">
      <c r="A454" s="3" t="s">
        <v>611</v>
      </c>
      <c r="B454" s="5"/>
      <c r="C454" s="5"/>
      <c r="D454" s="6"/>
      <c r="E454" s="7"/>
      <c r="Q454" s="7"/>
      <c r="W454" s="7"/>
      <c r="Y454" s="8"/>
    </row>
    <row r="455" spans="1:25" x14ac:dyDescent="0.3">
      <c r="A455" s="3" t="s">
        <v>612</v>
      </c>
      <c r="B455" s="5"/>
      <c r="C455" s="5"/>
      <c r="D455" s="6"/>
      <c r="E455" s="7"/>
      <c r="Q455" s="7"/>
      <c r="W455" s="7"/>
      <c r="Y455" s="8"/>
    </row>
    <row r="456" spans="1:25" x14ac:dyDescent="0.3">
      <c r="A456" s="3" t="s">
        <v>613</v>
      </c>
      <c r="B456" s="5"/>
      <c r="C456" s="5"/>
      <c r="D456" s="6"/>
      <c r="E456" s="7"/>
      <c r="Q456" s="7"/>
      <c r="W456" s="7"/>
      <c r="Y456" s="8"/>
    </row>
    <row r="457" spans="1:25" x14ac:dyDescent="0.3">
      <c r="A457" s="3" t="s">
        <v>614</v>
      </c>
      <c r="B457" s="5"/>
      <c r="C457" s="5"/>
      <c r="D457" s="6"/>
      <c r="E457" s="7"/>
      <c r="Q457" s="7"/>
      <c r="W457" s="7"/>
      <c r="Y457" s="8"/>
    </row>
    <row r="458" spans="1:25" x14ac:dyDescent="0.3">
      <c r="A458" s="3" t="s">
        <v>615</v>
      </c>
      <c r="B458" s="5"/>
      <c r="C458" s="5"/>
      <c r="D458" s="6"/>
      <c r="E458" s="7"/>
      <c r="Q458" s="7"/>
      <c r="W458" s="7"/>
      <c r="Y458" s="8"/>
    </row>
    <row r="459" spans="1:25" x14ac:dyDescent="0.3">
      <c r="A459" s="3" t="s">
        <v>616</v>
      </c>
      <c r="B459" s="5"/>
      <c r="C459" s="5"/>
      <c r="D459" s="6"/>
      <c r="E459" s="7"/>
      <c r="Q459" s="7"/>
      <c r="W459" s="7"/>
      <c r="Y459" s="8"/>
    </row>
    <row r="460" spans="1:25" x14ac:dyDescent="0.3">
      <c r="A460" s="3" t="s">
        <v>617</v>
      </c>
      <c r="B460" s="5"/>
      <c r="C460" s="5"/>
      <c r="D460" s="6"/>
      <c r="E460" s="7"/>
      <c r="Q460" s="7"/>
      <c r="W460" s="7"/>
      <c r="Y460" s="8"/>
    </row>
    <row r="461" spans="1:25" x14ac:dyDescent="0.3">
      <c r="A461" s="3" t="s">
        <v>618</v>
      </c>
      <c r="B461" s="5"/>
      <c r="C461" s="5"/>
      <c r="D461" s="6"/>
      <c r="E461" s="7"/>
      <c r="Q461" s="7"/>
      <c r="W461" s="7"/>
      <c r="Y461" s="8"/>
    </row>
    <row r="462" spans="1:25" x14ac:dyDescent="0.3">
      <c r="A462" s="3" t="s">
        <v>619</v>
      </c>
      <c r="B462" s="5"/>
      <c r="C462" s="5"/>
      <c r="D462" s="6"/>
      <c r="E462" s="7"/>
      <c r="Q462" s="7"/>
      <c r="W462" s="7"/>
      <c r="Y462" s="8"/>
    </row>
    <row r="463" spans="1:25" x14ac:dyDescent="0.3">
      <c r="A463" s="3" t="s">
        <v>620</v>
      </c>
      <c r="B463" s="5"/>
      <c r="C463" s="5"/>
      <c r="D463" s="6"/>
      <c r="E463" s="7"/>
      <c r="Q463" s="7"/>
      <c r="W463" s="7"/>
      <c r="Y463" s="8"/>
    </row>
    <row r="464" spans="1:25" x14ac:dyDescent="0.3">
      <c r="A464" s="3" t="s">
        <v>621</v>
      </c>
      <c r="B464" s="5"/>
      <c r="C464" s="5"/>
      <c r="D464" s="6"/>
      <c r="E464" s="7"/>
      <c r="Q464" s="7"/>
      <c r="W464" s="7"/>
      <c r="Y464" s="8"/>
    </row>
    <row r="465" spans="1:25" x14ac:dyDescent="0.3">
      <c r="A465" s="3" t="s">
        <v>622</v>
      </c>
      <c r="B465" s="5"/>
      <c r="C465" s="5"/>
      <c r="D465" s="6"/>
      <c r="E465" s="7"/>
      <c r="Q465" s="7"/>
      <c r="W465" s="7"/>
      <c r="Y465" s="8"/>
    </row>
    <row r="466" spans="1:25" x14ac:dyDescent="0.3">
      <c r="A466" s="3" t="s">
        <v>623</v>
      </c>
      <c r="B466" s="5"/>
      <c r="C466" s="5"/>
      <c r="D466" s="6"/>
      <c r="E466" s="7"/>
      <c r="Q466" s="7"/>
      <c r="W466" s="7"/>
      <c r="Y466" s="8"/>
    </row>
    <row r="467" spans="1:25" x14ac:dyDescent="0.3">
      <c r="A467" s="3" t="s">
        <v>624</v>
      </c>
      <c r="B467" s="5"/>
      <c r="C467" s="5"/>
      <c r="D467" s="6"/>
      <c r="E467" s="7"/>
      <c r="Q467" s="7"/>
      <c r="W467" s="7"/>
      <c r="Y467" s="8"/>
    </row>
    <row r="468" spans="1:25" x14ac:dyDescent="0.3">
      <c r="A468" s="3" t="s">
        <v>625</v>
      </c>
      <c r="B468" s="5"/>
      <c r="C468" s="5"/>
      <c r="D468" s="6"/>
      <c r="E468" s="7"/>
      <c r="Q468" s="7"/>
      <c r="W468" s="7"/>
      <c r="Y468" s="8"/>
    </row>
    <row r="469" spans="1:25" x14ac:dyDescent="0.3">
      <c r="A469" s="3" t="s">
        <v>626</v>
      </c>
      <c r="B469" s="5"/>
      <c r="C469" s="5"/>
      <c r="D469" s="6"/>
      <c r="E469" s="7"/>
      <c r="Q469" s="7"/>
      <c r="W469" s="7"/>
      <c r="Y469" s="8"/>
    </row>
    <row r="470" spans="1:25" x14ac:dyDescent="0.3">
      <c r="A470" s="3" t="s">
        <v>627</v>
      </c>
      <c r="B470" s="5"/>
      <c r="C470" s="5"/>
      <c r="D470" s="6"/>
      <c r="E470" s="7"/>
      <c r="Q470" s="7"/>
      <c r="W470" s="7"/>
      <c r="Y470" s="8"/>
    </row>
    <row r="471" spans="1:25" x14ac:dyDescent="0.3">
      <c r="A471" s="3" t="s">
        <v>628</v>
      </c>
      <c r="B471" s="5"/>
      <c r="C471" s="5"/>
      <c r="D471" s="6"/>
      <c r="E471" s="7"/>
      <c r="Q471" s="7"/>
      <c r="W471" s="7"/>
      <c r="Y471" s="8"/>
    </row>
    <row r="472" spans="1:25" x14ac:dyDescent="0.3">
      <c r="A472" s="3" t="s">
        <v>629</v>
      </c>
      <c r="B472" s="5"/>
      <c r="C472" s="5"/>
      <c r="D472" s="6"/>
      <c r="E472" s="7"/>
      <c r="Q472" s="7"/>
      <c r="W472" s="7"/>
      <c r="Y472" s="8"/>
    </row>
    <row r="473" spans="1:25" x14ac:dyDescent="0.3">
      <c r="A473" s="3" t="s">
        <v>630</v>
      </c>
      <c r="B473" s="5"/>
      <c r="C473" s="5"/>
      <c r="D473" s="6"/>
      <c r="E473" s="7"/>
      <c r="Q473" s="7"/>
      <c r="W473" s="7"/>
      <c r="Y473" s="8"/>
    </row>
    <row r="474" spans="1:25" x14ac:dyDescent="0.3">
      <c r="A474" s="3" t="s">
        <v>631</v>
      </c>
      <c r="B474" s="5"/>
      <c r="C474" s="5"/>
      <c r="D474" s="6"/>
      <c r="E474" s="7"/>
      <c r="Q474" s="7"/>
      <c r="W474" s="7"/>
      <c r="Y474" s="8"/>
    </row>
    <row r="475" spans="1:25" x14ac:dyDescent="0.3">
      <c r="A475" s="3" t="s">
        <v>632</v>
      </c>
      <c r="B475" s="5"/>
      <c r="C475" s="5"/>
      <c r="D475" s="6"/>
      <c r="E475" s="7"/>
      <c r="Q475" s="7"/>
      <c r="W475" s="7"/>
      <c r="Y475" s="8"/>
    </row>
    <row r="476" spans="1:25" x14ac:dyDescent="0.3">
      <c r="A476" s="3" t="s">
        <v>633</v>
      </c>
      <c r="B476" s="5"/>
      <c r="C476" s="5"/>
      <c r="D476" s="6"/>
      <c r="E476" s="7"/>
      <c r="Q476" s="7"/>
      <c r="W476" s="7"/>
      <c r="Y476" s="8"/>
    </row>
    <row r="477" spans="1:25" x14ac:dyDescent="0.3">
      <c r="A477" s="3" t="s">
        <v>634</v>
      </c>
      <c r="B477" s="5"/>
      <c r="C477" s="5"/>
      <c r="D477" s="6"/>
      <c r="E477" s="7"/>
      <c r="Q477" s="7"/>
      <c r="W477" s="7"/>
      <c r="Y477" s="8"/>
    </row>
    <row r="478" spans="1:25" x14ac:dyDescent="0.3">
      <c r="A478" s="3" t="s">
        <v>635</v>
      </c>
      <c r="B478" s="5"/>
      <c r="C478" s="5"/>
      <c r="D478" s="6"/>
      <c r="E478" s="7"/>
      <c r="Q478" s="7"/>
      <c r="W478" s="7"/>
      <c r="Y478" s="8"/>
    </row>
    <row r="479" spans="1:25" x14ac:dyDescent="0.3">
      <c r="A479" s="3" t="s">
        <v>636</v>
      </c>
      <c r="B479" s="5"/>
      <c r="C479" s="5"/>
      <c r="D479" s="6"/>
      <c r="E479" s="7"/>
      <c r="Q479" s="7"/>
      <c r="W479" s="7"/>
      <c r="Y479" s="8"/>
    </row>
    <row r="480" spans="1:25" x14ac:dyDescent="0.3">
      <c r="A480" s="3" t="s">
        <v>637</v>
      </c>
      <c r="B480" s="5"/>
      <c r="C480" s="5"/>
      <c r="D480" s="6"/>
      <c r="E480" s="7"/>
      <c r="Q480" s="7"/>
      <c r="W480" s="7"/>
      <c r="Y480" s="8"/>
    </row>
    <row r="481" spans="1:25" x14ac:dyDescent="0.3">
      <c r="A481" s="3" t="s">
        <v>638</v>
      </c>
      <c r="B481" s="5"/>
      <c r="C481" s="5"/>
      <c r="D481" s="6"/>
      <c r="E481" s="7"/>
      <c r="Q481" s="7"/>
      <c r="W481" s="7"/>
      <c r="Y481" s="8"/>
    </row>
    <row r="482" spans="1:25" x14ac:dyDescent="0.3">
      <c r="A482" s="3" t="s">
        <v>639</v>
      </c>
      <c r="B482" s="5"/>
      <c r="C482" s="5"/>
      <c r="D482" s="6"/>
      <c r="E482" s="7"/>
      <c r="Q482" s="7"/>
      <c r="W482" s="7"/>
      <c r="Y482" s="8"/>
    </row>
    <row r="483" spans="1:25" x14ac:dyDescent="0.3">
      <c r="A483" s="3" t="s">
        <v>640</v>
      </c>
      <c r="B483" s="5"/>
      <c r="C483" s="5"/>
      <c r="D483" s="6"/>
      <c r="E483" s="7"/>
      <c r="Q483" s="7"/>
      <c r="W483" s="7"/>
      <c r="Y483" s="8"/>
    </row>
    <row r="484" spans="1:25" x14ac:dyDescent="0.3">
      <c r="A484" s="3" t="s">
        <v>641</v>
      </c>
      <c r="B484" s="5"/>
      <c r="C484" s="5"/>
      <c r="D484" s="6"/>
      <c r="E484" s="7"/>
      <c r="Q484" s="7"/>
      <c r="W484" s="7"/>
      <c r="Y484" s="8"/>
    </row>
    <row r="485" spans="1:25" x14ac:dyDescent="0.3">
      <c r="A485" s="3" t="s">
        <v>642</v>
      </c>
      <c r="B485" s="5"/>
      <c r="C485" s="5"/>
      <c r="D485" s="6"/>
      <c r="E485" s="7"/>
      <c r="Q485" s="7"/>
      <c r="W485" s="7"/>
      <c r="Y485" s="8"/>
    </row>
    <row r="486" spans="1:25" x14ac:dyDescent="0.3">
      <c r="A486" s="3" t="s">
        <v>643</v>
      </c>
      <c r="B486" s="5"/>
      <c r="C486" s="5"/>
      <c r="D486" s="6"/>
      <c r="E486" s="7"/>
      <c r="Q486" s="7"/>
      <c r="W486" s="7"/>
      <c r="Y486" s="8"/>
    </row>
    <row r="487" spans="1:25" x14ac:dyDescent="0.3">
      <c r="A487" s="3" t="s">
        <v>644</v>
      </c>
      <c r="B487" s="5"/>
      <c r="C487" s="5"/>
      <c r="D487" s="6"/>
      <c r="E487" s="7"/>
      <c r="Q487" s="7"/>
      <c r="W487" s="7"/>
      <c r="Y487" s="8"/>
    </row>
    <row r="488" spans="1:25" x14ac:dyDescent="0.3">
      <c r="A488" s="3" t="s">
        <v>645</v>
      </c>
      <c r="B488" s="5"/>
      <c r="C488" s="5"/>
      <c r="D488" s="6"/>
      <c r="E488" s="7"/>
      <c r="Q488" s="7"/>
      <c r="W488" s="7"/>
      <c r="Y488" s="8"/>
    </row>
    <row r="489" spans="1:25" x14ac:dyDescent="0.3">
      <c r="A489" s="3" t="s">
        <v>646</v>
      </c>
      <c r="B489" s="5"/>
      <c r="C489" s="5"/>
      <c r="D489" s="6"/>
      <c r="E489" s="7"/>
      <c r="Q489" s="7"/>
      <c r="W489" s="7"/>
      <c r="Y489" s="8"/>
    </row>
    <row r="490" spans="1:25" x14ac:dyDescent="0.3">
      <c r="A490" s="3" t="s">
        <v>647</v>
      </c>
      <c r="B490" s="5"/>
      <c r="C490" s="5"/>
      <c r="D490" s="6"/>
      <c r="E490" s="7"/>
      <c r="Q490" s="7"/>
      <c r="W490" s="7"/>
      <c r="Y490" s="8"/>
    </row>
    <row r="491" spans="1:25" x14ac:dyDescent="0.3">
      <c r="A491" s="3" t="s">
        <v>648</v>
      </c>
      <c r="B491" s="5"/>
      <c r="C491" s="5"/>
      <c r="D491" s="6"/>
      <c r="E491" s="7"/>
      <c r="Q491" s="7"/>
      <c r="W491" s="7"/>
      <c r="Y491" s="8"/>
    </row>
    <row r="492" spans="1:25" x14ac:dyDescent="0.3">
      <c r="A492" s="3" t="s">
        <v>649</v>
      </c>
      <c r="B492" s="5"/>
      <c r="C492" s="5"/>
      <c r="D492" s="6"/>
      <c r="E492" s="7"/>
      <c r="Q492" s="7"/>
      <c r="W492" s="7"/>
      <c r="Y492" s="8"/>
    </row>
    <row r="493" spans="1:25" x14ac:dyDescent="0.3">
      <c r="A493" s="3" t="s">
        <v>650</v>
      </c>
      <c r="B493" s="5"/>
      <c r="C493" s="5"/>
      <c r="D493" s="6"/>
      <c r="E493" s="7"/>
      <c r="Q493" s="7"/>
      <c r="W493" s="7"/>
      <c r="Y493" s="8"/>
    </row>
    <row r="494" spans="1:25" x14ac:dyDescent="0.3">
      <c r="A494" s="3" t="s">
        <v>651</v>
      </c>
      <c r="B494" s="5"/>
      <c r="C494" s="5"/>
      <c r="D494" s="6"/>
      <c r="E494" s="7"/>
      <c r="Q494" s="7"/>
      <c r="W494" s="7"/>
      <c r="Y494" s="8"/>
    </row>
    <row r="495" spans="1:25" x14ac:dyDescent="0.3">
      <c r="A495" s="3" t="s">
        <v>652</v>
      </c>
      <c r="B495" s="5"/>
      <c r="C495" s="5"/>
      <c r="D495" s="6"/>
      <c r="E495" s="7"/>
      <c r="Q495" s="7"/>
      <c r="W495" s="7"/>
      <c r="Y495" s="8"/>
    </row>
    <row r="496" spans="1:25" x14ac:dyDescent="0.3">
      <c r="A496" s="3" t="s">
        <v>653</v>
      </c>
      <c r="B496" s="5"/>
      <c r="C496" s="5"/>
      <c r="D496" s="6"/>
      <c r="E496" s="7"/>
      <c r="Q496" s="7"/>
      <c r="W496" s="7"/>
      <c r="Y496" s="8"/>
    </row>
    <row r="497" spans="1:25" x14ac:dyDescent="0.3">
      <c r="A497" s="3" t="s">
        <v>654</v>
      </c>
      <c r="B497" s="5"/>
      <c r="C497" s="5"/>
      <c r="D497" s="6"/>
      <c r="E497" s="7"/>
      <c r="Q497" s="7"/>
      <c r="W497" s="7"/>
      <c r="Y497" s="8"/>
    </row>
    <row r="498" spans="1:25" x14ac:dyDescent="0.3">
      <c r="A498" s="3" t="s">
        <v>655</v>
      </c>
      <c r="B498" s="5"/>
      <c r="C498" s="5"/>
      <c r="D498" s="6"/>
      <c r="E498" s="7"/>
      <c r="Q498" s="7"/>
      <c r="W498" s="7"/>
      <c r="Y498" s="8"/>
    </row>
    <row r="499" spans="1:25" x14ac:dyDescent="0.3">
      <c r="A499" s="3" t="s">
        <v>656</v>
      </c>
      <c r="B499" s="5"/>
      <c r="C499" s="5"/>
      <c r="D499" s="6"/>
      <c r="E499" s="7"/>
      <c r="Q499" s="7"/>
      <c r="W499" s="7"/>
      <c r="Y499" s="8"/>
    </row>
    <row r="500" spans="1:25" x14ac:dyDescent="0.3">
      <c r="A500" s="3" t="s">
        <v>657</v>
      </c>
      <c r="B500" s="5"/>
      <c r="C500" s="5"/>
      <c r="D500" s="6"/>
      <c r="E500" s="7"/>
      <c r="Q500" s="7"/>
      <c r="W500" s="7"/>
      <c r="Y500" s="8"/>
    </row>
    <row r="501" spans="1:25" x14ac:dyDescent="0.3">
      <c r="A501" s="3" t="s">
        <v>658</v>
      </c>
      <c r="B501" s="5"/>
      <c r="C501" s="5"/>
      <c r="D501" s="6"/>
      <c r="E501" s="7"/>
      <c r="Q501" s="7"/>
      <c r="W501" s="7"/>
      <c r="Y501" s="8"/>
    </row>
    <row r="502" spans="1:25" x14ac:dyDescent="0.3">
      <c r="A502" s="3" t="s">
        <v>659</v>
      </c>
      <c r="B502" s="5"/>
      <c r="C502" s="5"/>
      <c r="D502" s="6"/>
      <c r="E502" s="7"/>
      <c r="Q502" s="7"/>
      <c r="W502" s="7"/>
      <c r="Y502" s="8"/>
    </row>
    <row r="503" spans="1:25" x14ac:dyDescent="0.3">
      <c r="A503" s="3" t="s">
        <v>660</v>
      </c>
      <c r="B503" s="5"/>
      <c r="C503" s="5"/>
      <c r="D503" s="6"/>
      <c r="E503" s="7"/>
      <c r="Q503" s="7"/>
      <c r="W503" s="7"/>
      <c r="Y503" s="8"/>
    </row>
    <row r="504" spans="1:25" x14ac:dyDescent="0.3">
      <c r="A504" s="3" t="s">
        <v>661</v>
      </c>
      <c r="B504" s="5"/>
      <c r="C504" s="5"/>
      <c r="D504" s="6"/>
      <c r="E504" s="7"/>
      <c r="Q504" s="7"/>
      <c r="W504" s="7"/>
      <c r="Y504" s="8"/>
    </row>
    <row r="505" spans="1:25" x14ac:dyDescent="0.3">
      <c r="A505" s="3" t="s">
        <v>662</v>
      </c>
      <c r="B505" s="5"/>
      <c r="C505" s="5"/>
      <c r="D505" s="6"/>
      <c r="E505" s="7"/>
      <c r="Q505" s="7"/>
      <c r="W505" s="7"/>
      <c r="Y505" s="8"/>
    </row>
    <row r="506" spans="1:25" x14ac:dyDescent="0.3">
      <c r="A506" s="3" t="s">
        <v>663</v>
      </c>
      <c r="B506" s="5"/>
      <c r="C506" s="5"/>
      <c r="D506" s="6"/>
      <c r="E506" s="7"/>
      <c r="Q506" s="7"/>
      <c r="W506" s="7"/>
      <c r="Y506" s="8"/>
    </row>
    <row r="507" spans="1:25" x14ac:dyDescent="0.3">
      <c r="A507" s="3" t="s">
        <v>664</v>
      </c>
      <c r="B507" s="5"/>
      <c r="C507" s="5"/>
      <c r="D507" s="6"/>
      <c r="E507" s="7"/>
      <c r="Q507" s="7"/>
      <c r="W507" s="7"/>
      <c r="Y507" s="8"/>
    </row>
    <row r="508" spans="1:25" x14ac:dyDescent="0.3">
      <c r="A508" s="3" t="s">
        <v>665</v>
      </c>
      <c r="B508" s="5"/>
      <c r="C508" s="5"/>
      <c r="D508" s="6"/>
      <c r="E508" s="7"/>
      <c r="Q508" s="7"/>
      <c r="W508" s="7"/>
      <c r="Y508" s="8"/>
    </row>
    <row r="509" spans="1:25" x14ac:dyDescent="0.3">
      <c r="A509" s="3" t="s">
        <v>666</v>
      </c>
      <c r="B509" s="5"/>
      <c r="C509" s="5"/>
      <c r="D509" s="6"/>
      <c r="E509" s="7"/>
      <c r="Q509" s="7"/>
      <c r="W509" s="7"/>
      <c r="Y509" s="8"/>
    </row>
    <row r="510" spans="1:25" x14ac:dyDescent="0.3">
      <c r="A510" s="3" t="s">
        <v>667</v>
      </c>
      <c r="B510" s="5"/>
      <c r="C510" s="5"/>
      <c r="D510" s="6"/>
      <c r="E510" s="7"/>
      <c r="Q510" s="7"/>
      <c r="W510" s="7"/>
      <c r="Y510" s="8"/>
    </row>
    <row r="511" spans="1:25" x14ac:dyDescent="0.3">
      <c r="A511" s="3" t="s">
        <v>668</v>
      </c>
      <c r="B511" s="5"/>
      <c r="C511" s="5"/>
      <c r="D511" s="6"/>
      <c r="E511" s="7"/>
      <c r="Q511" s="7"/>
      <c r="W511" s="7"/>
      <c r="Y511" s="8"/>
    </row>
    <row r="512" spans="1:25" x14ac:dyDescent="0.3">
      <c r="A512" s="3" t="s">
        <v>669</v>
      </c>
      <c r="B512" s="5"/>
      <c r="C512" s="5"/>
      <c r="D512" s="6"/>
      <c r="E512" s="7"/>
      <c r="Q512" s="7"/>
      <c r="W512" s="7"/>
      <c r="Y512" s="8"/>
    </row>
    <row r="513" spans="1:25" x14ac:dyDescent="0.3">
      <c r="A513" s="3" t="s">
        <v>670</v>
      </c>
      <c r="B513" s="5"/>
      <c r="C513" s="5"/>
      <c r="D513" s="6"/>
      <c r="E513" s="7"/>
      <c r="Q513" s="7"/>
      <c r="W513" s="7"/>
      <c r="Y513" s="8"/>
    </row>
    <row r="514" spans="1:25" x14ac:dyDescent="0.3">
      <c r="A514" s="3" t="s">
        <v>671</v>
      </c>
      <c r="B514" s="5"/>
      <c r="C514" s="5"/>
      <c r="D514" s="6"/>
      <c r="E514" s="7"/>
      <c r="Q514" s="7"/>
      <c r="W514" s="7"/>
      <c r="Y514" s="8"/>
    </row>
    <row r="515" spans="1:25" x14ac:dyDescent="0.3">
      <c r="A515" s="3" t="s">
        <v>672</v>
      </c>
      <c r="B515" s="5"/>
      <c r="C515" s="5"/>
      <c r="D515" s="6"/>
      <c r="E515" s="7"/>
      <c r="Q515" s="7"/>
      <c r="W515" s="7"/>
      <c r="Y515" s="8"/>
    </row>
    <row r="516" spans="1:25" x14ac:dyDescent="0.3">
      <c r="A516" s="3" t="s">
        <v>673</v>
      </c>
      <c r="B516" s="5"/>
      <c r="C516" s="5"/>
      <c r="D516" s="6"/>
      <c r="E516" s="7"/>
      <c r="Q516" s="7"/>
      <c r="W516" s="7"/>
      <c r="Y516" s="8"/>
    </row>
    <row r="517" spans="1:25" x14ac:dyDescent="0.3">
      <c r="A517" s="3" t="s">
        <v>674</v>
      </c>
      <c r="B517" s="5"/>
      <c r="C517" s="5"/>
      <c r="D517" s="6"/>
      <c r="E517" s="7"/>
      <c r="Q517" s="7"/>
      <c r="W517" s="7"/>
      <c r="Y517" s="8"/>
    </row>
    <row r="518" spans="1:25" x14ac:dyDescent="0.3">
      <c r="A518" s="3" t="s">
        <v>675</v>
      </c>
      <c r="B518" s="5"/>
      <c r="C518" s="5"/>
      <c r="D518" s="6"/>
      <c r="E518" s="7"/>
      <c r="Q518" s="7"/>
      <c r="W518" s="7"/>
      <c r="Y518" s="8"/>
    </row>
    <row r="519" spans="1:25" x14ac:dyDescent="0.3">
      <c r="A519" s="3" t="s">
        <v>676</v>
      </c>
      <c r="B519" s="5"/>
      <c r="C519" s="5"/>
      <c r="D519" s="6"/>
      <c r="E519" s="7"/>
      <c r="Q519" s="7"/>
      <c r="W519" s="7"/>
      <c r="Y519" s="8"/>
    </row>
    <row r="520" spans="1:25" x14ac:dyDescent="0.3">
      <c r="A520" s="3" t="s">
        <v>677</v>
      </c>
      <c r="B520" s="5"/>
      <c r="C520" s="5"/>
      <c r="D520" s="6"/>
      <c r="E520" s="7"/>
      <c r="Q520" s="7"/>
      <c r="W520" s="7"/>
      <c r="Y520" s="8"/>
    </row>
    <row r="521" spans="1:25" x14ac:dyDescent="0.3">
      <c r="A521" s="3" t="s">
        <v>678</v>
      </c>
      <c r="B521" s="5"/>
      <c r="C521" s="5"/>
      <c r="D521" s="6"/>
      <c r="E521" s="7"/>
      <c r="Q521" s="7"/>
      <c r="W521" s="7"/>
      <c r="Y521" s="8"/>
    </row>
    <row r="522" spans="1:25" x14ac:dyDescent="0.3">
      <c r="A522" s="3" t="s">
        <v>679</v>
      </c>
      <c r="B522" s="5"/>
      <c r="C522" s="5"/>
      <c r="D522" s="6"/>
      <c r="E522" s="7"/>
      <c r="Q522" s="7"/>
      <c r="W522" s="7"/>
      <c r="Y522" s="8"/>
    </row>
    <row r="523" spans="1:25" x14ac:dyDescent="0.3">
      <c r="A523" s="3" t="s">
        <v>680</v>
      </c>
      <c r="B523" s="5"/>
      <c r="C523" s="5"/>
      <c r="D523" s="6"/>
      <c r="E523" s="7"/>
      <c r="Q523" s="7"/>
      <c r="W523" s="7"/>
      <c r="Y523" s="8"/>
    </row>
    <row r="524" spans="1:25" x14ac:dyDescent="0.3">
      <c r="A524" s="3" t="s">
        <v>681</v>
      </c>
      <c r="B524" s="5"/>
      <c r="C524" s="5"/>
      <c r="D524" s="6"/>
      <c r="E524" s="7"/>
      <c r="Q524" s="7"/>
      <c r="W524" s="7"/>
      <c r="Y524" s="8"/>
    </row>
    <row r="525" spans="1:25" x14ac:dyDescent="0.3">
      <c r="A525" s="3" t="s">
        <v>682</v>
      </c>
      <c r="B525" s="5"/>
      <c r="C525" s="5"/>
      <c r="D525" s="6"/>
      <c r="E525" s="7"/>
      <c r="Q525" s="7"/>
      <c r="W525" s="7"/>
      <c r="Y525" s="8"/>
    </row>
    <row r="526" spans="1:25" x14ac:dyDescent="0.3">
      <c r="A526" s="3" t="s">
        <v>683</v>
      </c>
      <c r="B526" s="5"/>
      <c r="C526" s="5"/>
      <c r="D526" s="6"/>
      <c r="E526" s="7"/>
      <c r="Q526" s="7"/>
      <c r="W526" s="7"/>
      <c r="Y526" s="8"/>
    </row>
    <row r="527" spans="1:25" x14ac:dyDescent="0.3">
      <c r="A527" s="3" t="s">
        <v>684</v>
      </c>
      <c r="B527" s="5"/>
      <c r="C527" s="5"/>
      <c r="D527" s="6"/>
      <c r="E527" s="7"/>
      <c r="Q527" s="7"/>
      <c r="W527" s="7"/>
      <c r="Y527" s="8"/>
    </row>
    <row r="528" spans="1:25" x14ac:dyDescent="0.3">
      <c r="A528" s="3" t="s">
        <v>685</v>
      </c>
      <c r="B528" s="5"/>
      <c r="C528" s="5"/>
      <c r="D528" s="6"/>
      <c r="E528" s="7"/>
      <c r="Q528" s="7"/>
      <c r="W528" s="7"/>
      <c r="Y528" s="8"/>
    </row>
    <row r="529" spans="1:25" x14ac:dyDescent="0.3">
      <c r="A529" s="3" t="s">
        <v>686</v>
      </c>
      <c r="B529" s="5"/>
      <c r="C529" s="5"/>
      <c r="D529" s="6"/>
      <c r="E529" s="7"/>
      <c r="Q529" s="7"/>
      <c r="W529" s="7"/>
      <c r="Y529" s="8"/>
    </row>
    <row r="530" spans="1:25" x14ac:dyDescent="0.3">
      <c r="A530" s="3" t="s">
        <v>687</v>
      </c>
      <c r="B530" s="5"/>
      <c r="C530" s="5"/>
      <c r="D530" s="6"/>
      <c r="E530" s="7"/>
      <c r="Q530" s="7"/>
      <c r="W530" s="7"/>
      <c r="Y530" s="8"/>
    </row>
    <row r="531" spans="1:25" x14ac:dyDescent="0.3">
      <c r="A531" s="3" t="s">
        <v>688</v>
      </c>
      <c r="B531" s="5"/>
      <c r="C531" s="5"/>
      <c r="D531" s="6"/>
      <c r="E531" s="7"/>
      <c r="Q531" s="7"/>
      <c r="W531" s="7"/>
      <c r="Y531" s="8"/>
    </row>
    <row r="532" spans="1:25" x14ac:dyDescent="0.3">
      <c r="A532" s="3" t="s">
        <v>689</v>
      </c>
      <c r="B532" s="5"/>
      <c r="C532" s="5"/>
      <c r="D532" s="6"/>
      <c r="E532" s="7"/>
      <c r="Q532" s="7"/>
      <c r="W532" s="7"/>
      <c r="Y532" s="8"/>
    </row>
    <row r="533" spans="1:25" x14ac:dyDescent="0.3">
      <c r="A533" s="3" t="s">
        <v>690</v>
      </c>
      <c r="B533" s="5"/>
      <c r="C533" s="5"/>
      <c r="D533" s="6"/>
      <c r="E533" s="7"/>
      <c r="Q533" s="7"/>
      <c r="W533" s="7"/>
      <c r="Y533" s="8"/>
    </row>
    <row r="534" spans="1:25" x14ac:dyDescent="0.3">
      <c r="A534" s="3" t="s">
        <v>691</v>
      </c>
      <c r="B534" s="5"/>
      <c r="C534" s="5"/>
      <c r="D534" s="6"/>
      <c r="E534" s="7"/>
      <c r="Q534" s="7"/>
      <c r="W534" s="7"/>
      <c r="Y534" s="8"/>
    </row>
    <row r="535" spans="1:25" x14ac:dyDescent="0.3">
      <c r="A535" s="3" t="s">
        <v>692</v>
      </c>
      <c r="B535" s="5"/>
      <c r="C535" s="5"/>
      <c r="D535" s="6"/>
      <c r="E535" s="7"/>
      <c r="Q535" s="7"/>
      <c r="W535" s="7"/>
      <c r="Y535" s="8"/>
    </row>
    <row r="536" spans="1:25" x14ac:dyDescent="0.3">
      <c r="A536" s="3" t="s">
        <v>693</v>
      </c>
      <c r="B536" s="5"/>
      <c r="C536" s="5"/>
      <c r="D536" s="6"/>
      <c r="E536" s="7"/>
      <c r="Q536" s="7"/>
      <c r="W536" s="7"/>
      <c r="Y536" s="8"/>
    </row>
    <row r="537" spans="1:25" x14ac:dyDescent="0.3">
      <c r="A537" s="3" t="s">
        <v>694</v>
      </c>
      <c r="B537" s="5"/>
      <c r="C537" s="5"/>
      <c r="D537" s="6"/>
      <c r="E537" s="7"/>
      <c r="Q537" s="7"/>
      <c r="W537" s="7"/>
      <c r="Y537" s="8"/>
    </row>
    <row r="538" spans="1:25" x14ac:dyDescent="0.3">
      <c r="A538" s="3" t="s">
        <v>695</v>
      </c>
      <c r="B538" s="5"/>
      <c r="C538" s="5"/>
      <c r="D538" s="6"/>
      <c r="E538" s="7"/>
      <c r="Q538" s="7"/>
      <c r="W538" s="7"/>
      <c r="Y538" s="8"/>
    </row>
    <row r="539" spans="1:25" x14ac:dyDescent="0.3">
      <c r="A539" s="3" t="s">
        <v>696</v>
      </c>
      <c r="B539" s="5"/>
      <c r="C539" s="5"/>
      <c r="D539" s="6"/>
      <c r="E539" s="7"/>
      <c r="Q539" s="7"/>
      <c r="W539" s="7"/>
      <c r="Y539" s="8"/>
    </row>
    <row r="540" spans="1:25" x14ac:dyDescent="0.3">
      <c r="A540" s="3" t="s">
        <v>697</v>
      </c>
      <c r="B540" s="5"/>
      <c r="C540" s="5"/>
      <c r="D540" s="6"/>
      <c r="E540" s="7"/>
      <c r="Q540" s="7"/>
      <c r="W540" s="7"/>
      <c r="Y540" s="8"/>
    </row>
    <row r="541" spans="1:25" x14ac:dyDescent="0.3">
      <c r="A541" s="3" t="s">
        <v>698</v>
      </c>
      <c r="B541" s="5"/>
      <c r="C541" s="5"/>
      <c r="D541" s="6"/>
      <c r="E541" s="7"/>
      <c r="Q541" s="7"/>
      <c r="W541" s="7"/>
      <c r="Y541" s="8"/>
    </row>
    <row r="542" spans="1:25" x14ac:dyDescent="0.3">
      <c r="A542" s="3" t="s">
        <v>699</v>
      </c>
      <c r="B542" s="5"/>
      <c r="C542" s="5"/>
      <c r="D542" s="6"/>
      <c r="E542" s="7"/>
      <c r="Q542" s="7"/>
      <c r="W542" s="7"/>
      <c r="Y542" s="8"/>
    </row>
    <row r="543" spans="1:25" x14ac:dyDescent="0.3">
      <c r="A543" s="3" t="s">
        <v>700</v>
      </c>
      <c r="B543" s="5"/>
      <c r="C543" s="5"/>
      <c r="D543" s="6"/>
      <c r="E543" s="7"/>
      <c r="Q543" s="7"/>
      <c r="W543" s="7"/>
      <c r="Y543" s="8"/>
    </row>
    <row r="544" spans="1:25" x14ac:dyDescent="0.3">
      <c r="A544" s="3" t="s">
        <v>701</v>
      </c>
      <c r="B544" s="5"/>
      <c r="C544" s="5"/>
      <c r="D544" s="6"/>
      <c r="E544" s="7"/>
      <c r="Q544" s="7"/>
      <c r="W544" s="7"/>
      <c r="Y544" s="8"/>
    </row>
    <row r="545" spans="1:25" x14ac:dyDescent="0.3">
      <c r="A545" s="3" t="s">
        <v>702</v>
      </c>
      <c r="B545" s="5"/>
      <c r="C545" s="5"/>
      <c r="D545" s="6"/>
      <c r="E545" s="7"/>
      <c r="Q545" s="7"/>
      <c r="W545" s="7"/>
      <c r="Y545" s="8"/>
    </row>
    <row r="546" spans="1:25" x14ac:dyDescent="0.3">
      <c r="A546" s="3" t="s">
        <v>703</v>
      </c>
      <c r="B546" s="5"/>
      <c r="C546" s="5"/>
      <c r="D546" s="6"/>
      <c r="E546" s="7"/>
      <c r="Q546" s="7"/>
      <c r="W546" s="7"/>
      <c r="Y546" s="8"/>
    </row>
    <row r="547" spans="1:25" x14ac:dyDescent="0.3">
      <c r="A547" s="3" t="s">
        <v>704</v>
      </c>
      <c r="B547" s="5"/>
      <c r="C547" s="5"/>
      <c r="D547" s="6"/>
      <c r="E547" s="7"/>
      <c r="Q547" s="7"/>
      <c r="W547" s="7"/>
      <c r="Y547" s="8"/>
    </row>
    <row r="548" spans="1:25" x14ac:dyDescent="0.3">
      <c r="A548" s="3" t="s">
        <v>705</v>
      </c>
      <c r="B548" s="5"/>
      <c r="C548" s="5"/>
      <c r="D548" s="6"/>
      <c r="E548" s="7"/>
      <c r="Q548" s="7"/>
      <c r="W548" s="7"/>
      <c r="Y548" s="8"/>
    </row>
    <row r="549" spans="1:25" x14ac:dyDescent="0.3">
      <c r="A549" s="3" t="s">
        <v>706</v>
      </c>
      <c r="B549" s="5"/>
      <c r="C549" s="5"/>
      <c r="D549" s="6"/>
      <c r="E549" s="7"/>
      <c r="Q549" s="7"/>
      <c r="W549" s="7"/>
      <c r="Y549" s="8"/>
    </row>
    <row r="550" spans="1:25" x14ac:dyDescent="0.3">
      <c r="A550" s="3" t="s">
        <v>707</v>
      </c>
      <c r="B550" s="5"/>
      <c r="C550" s="5"/>
      <c r="D550" s="6"/>
      <c r="E550" s="7"/>
      <c r="Q550" s="7"/>
      <c r="W550" s="7"/>
      <c r="Y550" s="8"/>
    </row>
    <row r="551" spans="1:25" x14ac:dyDescent="0.3">
      <c r="A551" s="3" t="s">
        <v>708</v>
      </c>
      <c r="B551" s="5"/>
      <c r="C551" s="5"/>
      <c r="D551" s="6"/>
      <c r="E551" s="7"/>
      <c r="Q551" s="7"/>
      <c r="W551" s="7"/>
      <c r="Y551" s="8"/>
    </row>
    <row r="552" spans="1:25" x14ac:dyDescent="0.3">
      <c r="A552" s="3" t="s">
        <v>709</v>
      </c>
      <c r="B552" s="5"/>
      <c r="C552" s="5"/>
      <c r="D552" s="6"/>
      <c r="E552" s="7"/>
      <c r="Q552" s="7"/>
      <c r="W552" s="7"/>
      <c r="Y552" s="8"/>
    </row>
    <row r="553" spans="1:25" x14ac:dyDescent="0.3">
      <c r="A553" s="3" t="s">
        <v>710</v>
      </c>
      <c r="B553" s="5"/>
      <c r="C553" s="5"/>
      <c r="D553" s="6"/>
      <c r="E553" s="7"/>
      <c r="Q553" s="7"/>
      <c r="W553" s="7"/>
      <c r="Y553" s="8"/>
    </row>
    <row r="554" spans="1:25" x14ac:dyDescent="0.3">
      <c r="A554" s="3" t="s">
        <v>711</v>
      </c>
      <c r="B554" s="5"/>
      <c r="C554" s="5"/>
      <c r="D554" s="6"/>
      <c r="E554" s="7"/>
      <c r="Q554" s="7"/>
      <c r="W554" s="7"/>
      <c r="Y554" s="8"/>
    </row>
    <row r="555" spans="1:25" x14ac:dyDescent="0.3">
      <c r="A555" s="3" t="s">
        <v>712</v>
      </c>
      <c r="B555" s="5"/>
      <c r="C555" s="5"/>
      <c r="D555" s="6"/>
      <c r="E555" s="7"/>
      <c r="Q555" s="7"/>
      <c r="W555" s="7"/>
      <c r="Y555" s="8"/>
    </row>
    <row r="556" spans="1:25" x14ac:dyDescent="0.3">
      <c r="A556" s="3" t="s">
        <v>713</v>
      </c>
      <c r="B556" s="5"/>
      <c r="C556" s="5"/>
      <c r="D556" s="6"/>
      <c r="E556" s="7"/>
      <c r="Q556" s="7"/>
      <c r="W556" s="7"/>
      <c r="Y556" s="8"/>
    </row>
    <row r="557" spans="1:25" x14ac:dyDescent="0.3">
      <c r="A557" s="3" t="s">
        <v>714</v>
      </c>
      <c r="B557" s="5"/>
      <c r="C557" s="5"/>
      <c r="D557" s="6"/>
      <c r="E557" s="7"/>
      <c r="Q557" s="7"/>
      <c r="W557" s="7"/>
      <c r="Y557" s="8"/>
    </row>
    <row r="558" spans="1:25" x14ac:dyDescent="0.3">
      <c r="A558" s="3" t="s">
        <v>715</v>
      </c>
      <c r="B558" s="5"/>
      <c r="C558" s="5"/>
      <c r="D558" s="6"/>
      <c r="E558" s="7"/>
      <c r="Q558" s="7"/>
      <c r="W558" s="7"/>
      <c r="Y558" s="8"/>
    </row>
    <row r="559" spans="1:25" x14ac:dyDescent="0.3">
      <c r="A559" s="3" t="s">
        <v>716</v>
      </c>
      <c r="B559" s="5"/>
      <c r="C559" s="5"/>
      <c r="D559" s="6"/>
      <c r="E559" s="7"/>
      <c r="Q559" s="7"/>
      <c r="W559" s="7"/>
      <c r="Y559" s="8"/>
    </row>
    <row r="560" spans="1:25" x14ac:dyDescent="0.3">
      <c r="A560" s="3" t="s">
        <v>717</v>
      </c>
      <c r="B560" s="5"/>
      <c r="C560" s="5"/>
      <c r="D560" s="6"/>
      <c r="E560" s="7"/>
      <c r="Q560" s="7"/>
      <c r="W560" s="7"/>
      <c r="Y560" s="8"/>
    </row>
    <row r="561" spans="1:25" x14ac:dyDescent="0.3">
      <c r="A561" s="3" t="s">
        <v>718</v>
      </c>
      <c r="B561" s="5"/>
      <c r="C561" s="5"/>
      <c r="D561" s="6"/>
      <c r="E561" s="7"/>
      <c r="Q561" s="7"/>
      <c r="W561" s="7"/>
      <c r="Y561" s="8"/>
    </row>
    <row r="562" spans="1:25" x14ac:dyDescent="0.3">
      <c r="A562" s="3" t="s">
        <v>719</v>
      </c>
      <c r="B562" s="5"/>
      <c r="C562" s="5"/>
      <c r="D562" s="6"/>
      <c r="E562" s="7"/>
      <c r="Q562" s="7"/>
      <c r="W562" s="7"/>
      <c r="Y562" s="8"/>
    </row>
    <row r="563" spans="1:25" x14ac:dyDescent="0.3">
      <c r="A563" s="3" t="s">
        <v>720</v>
      </c>
      <c r="B563" s="5"/>
      <c r="C563" s="5"/>
      <c r="D563" s="6"/>
      <c r="E563" s="7"/>
      <c r="Q563" s="7"/>
      <c r="W563" s="7"/>
      <c r="Y563" s="8"/>
    </row>
    <row r="564" spans="1:25" x14ac:dyDescent="0.3">
      <c r="A564" s="3" t="s">
        <v>721</v>
      </c>
      <c r="B564" s="5"/>
      <c r="C564" s="5"/>
      <c r="D564" s="6"/>
      <c r="E564" s="7"/>
      <c r="Q564" s="7"/>
      <c r="W564" s="7"/>
      <c r="Y564" s="8"/>
    </row>
    <row r="565" spans="1:25" x14ac:dyDescent="0.3">
      <c r="A565" s="3" t="s">
        <v>722</v>
      </c>
      <c r="B565" s="5"/>
      <c r="C565" s="5"/>
      <c r="D565" s="6"/>
      <c r="E565" s="7"/>
      <c r="Q565" s="7"/>
      <c r="W565" s="7"/>
      <c r="Y565" s="8"/>
    </row>
    <row r="566" spans="1:25" x14ac:dyDescent="0.3">
      <c r="A566" s="3" t="s">
        <v>723</v>
      </c>
      <c r="B566" s="5"/>
      <c r="C566" s="5"/>
      <c r="D566" s="6"/>
      <c r="E566" s="7"/>
      <c r="Q566" s="7"/>
      <c r="W566" s="7"/>
      <c r="Y566" s="8"/>
    </row>
    <row r="567" spans="1:25" x14ac:dyDescent="0.3">
      <c r="A567" s="3" t="s">
        <v>724</v>
      </c>
      <c r="B567" s="5"/>
      <c r="C567" s="5"/>
      <c r="D567" s="6"/>
      <c r="E567" s="7"/>
      <c r="Q567" s="7"/>
      <c r="W567" s="7"/>
      <c r="Y567" s="8"/>
    </row>
    <row r="568" spans="1:25" x14ac:dyDescent="0.3">
      <c r="A568" s="3" t="s">
        <v>725</v>
      </c>
      <c r="B568" s="5"/>
      <c r="C568" s="5"/>
      <c r="D568" s="6"/>
      <c r="E568" s="7"/>
      <c r="Q568" s="7"/>
      <c r="W568" s="7"/>
      <c r="Y568" s="8"/>
    </row>
    <row r="569" spans="1:25" x14ac:dyDescent="0.3">
      <c r="A569" s="3" t="s">
        <v>726</v>
      </c>
      <c r="B569" s="5"/>
      <c r="C569" s="5"/>
      <c r="D569" s="6"/>
      <c r="E569" s="7"/>
      <c r="Q569" s="7"/>
      <c r="W569" s="7"/>
      <c r="Y569" s="8"/>
    </row>
    <row r="570" spans="1:25" x14ac:dyDescent="0.3">
      <c r="A570" s="3" t="s">
        <v>727</v>
      </c>
      <c r="B570" s="5"/>
      <c r="C570" s="5"/>
      <c r="D570" s="6"/>
      <c r="E570" s="7"/>
      <c r="Q570" s="7"/>
      <c r="W570" s="7"/>
      <c r="Y570" s="8"/>
    </row>
    <row r="571" spans="1:25" x14ac:dyDescent="0.3">
      <c r="A571" s="3" t="s">
        <v>728</v>
      </c>
      <c r="B571" s="5"/>
      <c r="C571" s="5"/>
      <c r="D571" s="6"/>
      <c r="E571" s="7"/>
      <c r="Q571" s="7"/>
      <c r="W571" s="7"/>
      <c r="Y571" s="8"/>
    </row>
    <row r="572" spans="1:25" x14ac:dyDescent="0.3">
      <c r="A572" s="3" t="s">
        <v>729</v>
      </c>
      <c r="B572" s="5"/>
      <c r="C572" s="5"/>
      <c r="D572" s="6"/>
      <c r="E572" s="7"/>
      <c r="Q572" s="7"/>
      <c r="W572" s="7"/>
      <c r="Y572" s="8"/>
    </row>
    <row r="573" spans="1:25" x14ac:dyDescent="0.3">
      <c r="A573" s="3" t="s">
        <v>730</v>
      </c>
      <c r="B573" s="5"/>
      <c r="C573" s="5"/>
      <c r="D573" s="6"/>
      <c r="E573" s="7"/>
      <c r="Q573" s="7"/>
      <c r="W573" s="7"/>
      <c r="Y573" s="8"/>
    </row>
    <row r="574" spans="1:25" x14ac:dyDescent="0.3">
      <c r="A574" s="3" t="s">
        <v>731</v>
      </c>
      <c r="B574" s="5"/>
      <c r="C574" s="5"/>
      <c r="D574" s="6"/>
      <c r="E574" s="7"/>
      <c r="Q574" s="7"/>
      <c r="W574" s="7"/>
      <c r="Y574" s="8"/>
    </row>
    <row r="575" spans="1:25" x14ac:dyDescent="0.3">
      <c r="A575" s="3" t="s">
        <v>732</v>
      </c>
      <c r="B575" s="5"/>
      <c r="C575" s="5"/>
      <c r="D575" s="6"/>
      <c r="E575" s="7"/>
      <c r="Q575" s="7"/>
      <c r="W575" s="7"/>
      <c r="Y575" s="8"/>
    </row>
    <row r="576" spans="1:25" x14ac:dyDescent="0.3">
      <c r="A576" s="3" t="s">
        <v>733</v>
      </c>
      <c r="B576" s="5"/>
      <c r="C576" s="5"/>
      <c r="D576" s="6"/>
      <c r="E576" s="7"/>
      <c r="Q576" s="7"/>
      <c r="W576" s="7"/>
      <c r="Y576" s="8"/>
    </row>
    <row r="577" spans="1:25" x14ac:dyDescent="0.3">
      <c r="A577" s="3" t="s">
        <v>734</v>
      </c>
      <c r="B577" s="5"/>
      <c r="C577" s="5"/>
      <c r="D577" s="6"/>
      <c r="E577" s="7"/>
      <c r="Q577" s="7"/>
      <c r="W577" s="7"/>
      <c r="Y577" s="8"/>
    </row>
    <row r="578" spans="1:25" x14ac:dyDescent="0.3">
      <c r="A578" s="3" t="s">
        <v>735</v>
      </c>
      <c r="B578" s="5"/>
      <c r="C578" s="5"/>
      <c r="D578" s="6"/>
      <c r="E578" s="7"/>
      <c r="Q578" s="7"/>
      <c r="W578" s="7"/>
      <c r="Y578" s="8"/>
    </row>
    <row r="579" spans="1:25" x14ac:dyDescent="0.3">
      <c r="A579" s="3" t="s">
        <v>736</v>
      </c>
      <c r="B579" s="5"/>
      <c r="C579" s="5"/>
      <c r="D579" s="6"/>
      <c r="E579" s="7"/>
      <c r="Q579" s="7"/>
      <c r="W579" s="7"/>
      <c r="Y579" s="8"/>
    </row>
    <row r="580" spans="1:25" x14ac:dyDescent="0.3">
      <c r="A580" s="3" t="s">
        <v>737</v>
      </c>
      <c r="B580" s="5"/>
      <c r="C580" s="5"/>
      <c r="D580" s="6"/>
      <c r="E580" s="7"/>
      <c r="Q580" s="7"/>
      <c r="W580" s="7"/>
      <c r="Y580" s="8"/>
    </row>
    <row r="581" spans="1:25" x14ac:dyDescent="0.3">
      <c r="A581" s="3" t="s">
        <v>738</v>
      </c>
      <c r="B581" s="5"/>
      <c r="C581" s="5"/>
      <c r="D581" s="6"/>
      <c r="E581" s="7"/>
      <c r="Q581" s="7"/>
      <c r="W581" s="7"/>
      <c r="Y581" s="8"/>
    </row>
    <row r="582" spans="1:25" x14ac:dyDescent="0.3">
      <c r="A582" s="3" t="s">
        <v>739</v>
      </c>
      <c r="B582" s="5"/>
      <c r="C582" s="5"/>
      <c r="D582" s="6"/>
      <c r="E582" s="7"/>
      <c r="Q582" s="7"/>
      <c r="W582" s="7"/>
      <c r="Y582" s="8"/>
    </row>
    <row r="583" spans="1:25" x14ac:dyDescent="0.3">
      <c r="A583" s="3" t="s">
        <v>740</v>
      </c>
      <c r="B583" s="5"/>
      <c r="C583" s="5"/>
      <c r="D583" s="6"/>
      <c r="E583" s="7"/>
      <c r="Q583" s="7"/>
      <c r="W583" s="7"/>
      <c r="Y583" s="8"/>
    </row>
    <row r="584" spans="1:25" x14ac:dyDescent="0.3">
      <c r="A584" s="3" t="s">
        <v>741</v>
      </c>
      <c r="B584" s="5"/>
      <c r="C584" s="5"/>
      <c r="D584" s="6"/>
      <c r="E584" s="7"/>
      <c r="Q584" s="7"/>
      <c r="W584" s="7"/>
      <c r="Y584" s="8"/>
    </row>
    <row r="585" spans="1:25" x14ac:dyDescent="0.3">
      <c r="A585" s="3" t="s">
        <v>742</v>
      </c>
      <c r="B585" s="5"/>
      <c r="C585" s="5"/>
      <c r="D585" s="6"/>
      <c r="E585" s="7"/>
      <c r="Q585" s="7"/>
      <c r="W585" s="7"/>
      <c r="Y585" s="8"/>
    </row>
    <row r="586" spans="1:25" x14ac:dyDescent="0.3">
      <c r="A586" s="3" t="s">
        <v>743</v>
      </c>
      <c r="B586" s="5"/>
      <c r="C586" s="5"/>
      <c r="D586" s="6"/>
      <c r="E586" s="7"/>
      <c r="Q586" s="7"/>
      <c r="W586" s="7"/>
      <c r="Y586" s="8"/>
    </row>
    <row r="587" spans="1:25" x14ac:dyDescent="0.3">
      <c r="A587" s="3" t="s">
        <v>744</v>
      </c>
      <c r="B587" s="5"/>
      <c r="C587" s="5"/>
      <c r="D587" s="6"/>
      <c r="E587" s="7"/>
      <c r="Q587" s="7"/>
      <c r="W587" s="7"/>
      <c r="Y587" s="8"/>
    </row>
    <row r="588" spans="1:25" x14ac:dyDescent="0.3">
      <c r="A588" s="3" t="s">
        <v>745</v>
      </c>
      <c r="B588" s="5"/>
      <c r="C588" s="5"/>
      <c r="D588" s="6"/>
      <c r="E588" s="7"/>
      <c r="Q588" s="7"/>
      <c r="W588" s="7"/>
      <c r="Y588" s="8"/>
    </row>
    <row r="589" spans="1:25" x14ac:dyDescent="0.3">
      <c r="A589" s="3" t="s">
        <v>746</v>
      </c>
      <c r="B589" s="5"/>
      <c r="C589" s="5"/>
      <c r="D589" s="6"/>
      <c r="E589" s="7"/>
      <c r="Q589" s="7"/>
      <c r="W589" s="7"/>
      <c r="Y589" s="8"/>
    </row>
    <row r="590" spans="1:25" x14ac:dyDescent="0.3">
      <c r="A590" s="3" t="s">
        <v>747</v>
      </c>
      <c r="B590" s="5"/>
      <c r="C590" s="5"/>
      <c r="D590" s="6"/>
      <c r="E590" s="7"/>
      <c r="Q590" s="7"/>
      <c r="W590" s="7"/>
      <c r="Y590" s="8"/>
    </row>
    <row r="591" spans="1:25" x14ac:dyDescent="0.3">
      <c r="A591" s="3" t="s">
        <v>748</v>
      </c>
      <c r="B591" s="5"/>
      <c r="C591" s="5"/>
      <c r="D591" s="6"/>
      <c r="E591" s="7"/>
      <c r="Q591" s="7"/>
      <c r="W591" s="7"/>
      <c r="Y591" s="8"/>
    </row>
    <row r="592" spans="1:25" x14ac:dyDescent="0.3">
      <c r="A592" s="3" t="s">
        <v>749</v>
      </c>
      <c r="B592" s="5"/>
      <c r="C592" s="5"/>
      <c r="D592" s="6"/>
      <c r="E592" s="7"/>
      <c r="Q592" s="7"/>
      <c r="W592" s="7"/>
      <c r="Y592" s="8"/>
    </row>
    <row r="593" spans="1:25" x14ac:dyDescent="0.3">
      <c r="A593" s="3" t="s">
        <v>750</v>
      </c>
      <c r="B593" s="5"/>
      <c r="C593" s="5"/>
      <c r="D593" s="6"/>
      <c r="E593" s="7"/>
      <c r="Q593" s="7"/>
      <c r="W593" s="7"/>
      <c r="Y593" s="8"/>
    </row>
    <row r="594" spans="1:25" x14ac:dyDescent="0.3">
      <c r="A594" s="3" t="s">
        <v>751</v>
      </c>
      <c r="B594" s="5"/>
      <c r="C594" s="5"/>
      <c r="D594" s="6"/>
      <c r="E594" s="7"/>
      <c r="Q594" s="7"/>
      <c r="W594" s="7"/>
      <c r="Y594" s="8"/>
    </row>
    <row r="595" spans="1:25" x14ac:dyDescent="0.3">
      <c r="A595" s="3" t="s">
        <v>752</v>
      </c>
      <c r="B595" s="5"/>
      <c r="C595" s="5"/>
      <c r="D595" s="6"/>
      <c r="E595" s="7"/>
      <c r="Q595" s="7"/>
      <c r="W595" s="7"/>
      <c r="Y595" s="8"/>
    </row>
    <row r="596" spans="1:25" x14ac:dyDescent="0.3">
      <c r="A596" s="3" t="s">
        <v>753</v>
      </c>
      <c r="B596" s="5"/>
      <c r="C596" s="5"/>
      <c r="D596" s="6"/>
      <c r="E596" s="7"/>
      <c r="Q596" s="7"/>
      <c r="W596" s="7"/>
      <c r="Y596" s="8"/>
    </row>
    <row r="597" spans="1:25" x14ac:dyDescent="0.3">
      <c r="A597" s="3" t="s">
        <v>754</v>
      </c>
      <c r="B597" s="5"/>
      <c r="C597" s="5"/>
      <c r="D597" s="6"/>
      <c r="E597" s="7"/>
      <c r="Q597" s="7"/>
      <c r="W597" s="7"/>
      <c r="Y597" s="8"/>
    </row>
    <row r="598" spans="1:25" x14ac:dyDescent="0.3">
      <c r="A598" s="3" t="s">
        <v>755</v>
      </c>
      <c r="B598" s="5"/>
      <c r="C598" s="5"/>
      <c r="D598" s="6"/>
      <c r="E598" s="7"/>
      <c r="Q598" s="7"/>
      <c r="W598" s="7"/>
      <c r="Y598" s="8"/>
    </row>
    <row r="599" spans="1:25" x14ac:dyDescent="0.3">
      <c r="A599" s="3" t="s">
        <v>756</v>
      </c>
      <c r="B599" s="5"/>
      <c r="C599" s="5"/>
      <c r="D599" s="6"/>
      <c r="E599" s="7"/>
      <c r="Q599" s="7"/>
      <c r="W599" s="7"/>
      <c r="Y599" s="8"/>
    </row>
    <row r="600" spans="1:25" x14ac:dyDescent="0.3">
      <c r="A600" s="3" t="s">
        <v>757</v>
      </c>
      <c r="B600" s="5"/>
      <c r="C600" s="5"/>
      <c r="D600" s="6"/>
      <c r="E600" s="7"/>
      <c r="Q600" s="7"/>
      <c r="W600" s="7"/>
      <c r="Y600" s="8"/>
    </row>
    <row r="601" spans="1:25" x14ac:dyDescent="0.3">
      <c r="A601" s="3" t="s">
        <v>758</v>
      </c>
      <c r="B601" s="5"/>
      <c r="C601" s="5"/>
      <c r="D601" s="6"/>
      <c r="E601" s="7"/>
      <c r="Q601" s="7"/>
      <c r="W601" s="7"/>
      <c r="Y601" s="8"/>
    </row>
    <row r="602" spans="1:25" x14ac:dyDescent="0.3">
      <c r="A602" s="3" t="s">
        <v>759</v>
      </c>
      <c r="B602" s="5"/>
      <c r="C602" s="5"/>
      <c r="D602" s="6"/>
      <c r="E602" s="7"/>
      <c r="Q602" s="7"/>
      <c r="W602" s="7"/>
      <c r="Y602" s="8"/>
    </row>
    <row r="603" spans="1:25" x14ac:dyDescent="0.3">
      <c r="A603" s="3" t="s">
        <v>760</v>
      </c>
      <c r="B603" s="5"/>
      <c r="C603" s="5"/>
      <c r="D603" s="6"/>
      <c r="E603" s="7"/>
      <c r="Q603" s="7"/>
      <c r="W603" s="7"/>
      <c r="Y603" s="8"/>
    </row>
    <row r="604" spans="1:25" x14ac:dyDescent="0.3">
      <c r="A604" s="3" t="s">
        <v>761</v>
      </c>
      <c r="B604" s="5"/>
      <c r="C604" s="5"/>
      <c r="D604" s="6"/>
      <c r="E604" s="7"/>
      <c r="Q604" s="7"/>
      <c r="W604" s="7"/>
      <c r="Y604" s="8"/>
    </row>
    <row r="605" spans="1:25" x14ac:dyDescent="0.3">
      <c r="A605" s="3" t="s">
        <v>762</v>
      </c>
      <c r="B605" s="5"/>
      <c r="C605" s="5"/>
      <c r="D605" s="6"/>
      <c r="E605" s="7"/>
      <c r="Q605" s="7"/>
      <c r="W605" s="7"/>
      <c r="Y605" s="8"/>
    </row>
    <row r="606" spans="1:25" x14ac:dyDescent="0.3">
      <c r="A606" s="3" t="s">
        <v>763</v>
      </c>
      <c r="B606" s="5"/>
      <c r="C606" s="5"/>
      <c r="D606" s="6"/>
      <c r="E606" s="7"/>
      <c r="Q606" s="7"/>
      <c r="W606" s="7"/>
      <c r="Y606" s="8"/>
    </row>
    <row r="607" spans="1:25" x14ac:dyDescent="0.3">
      <c r="A607" s="3" t="s">
        <v>764</v>
      </c>
      <c r="B607" s="5"/>
      <c r="C607" s="5"/>
      <c r="D607" s="6"/>
      <c r="E607" s="7"/>
      <c r="Q607" s="7"/>
      <c r="W607" s="7"/>
      <c r="Y607" s="8"/>
    </row>
    <row r="608" spans="1:25" x14ac:dyDescent="0.3">
      <c r="A608" s="3" t="s">
        <v>765</v>
      </c>
      <c r="B608" s="5"/>
      <c r="C608" s="5"/>
      <c r="D608" s="6"/>
      <c r="E608" s="7"/>
      <c r="Q608" s="7"/>
      <c r="W608" s="7"/>
      <c r="Y608" s="8"/>
    </row>
    <row r="609" spans="1:25" x14ac:dyDescent="0.3">
      <c r="A609" s="3" t="s">
        <v>766</v>
      </c>
      <c r="B609" s="5"/>
      <c r="C609" s="5"/>
      <c r="D609" s="6"/>
      <c r="E609" s="7"/>
      <c r="Q609" s="7"/>
      <c r="W609" s="7"/>
      <c r="Y609" s="8"/>
    </row>
    <row r="610" spans="1:25" x14ac:dyDescent="0.3">
      <c r="A610" s="3" t="s">
        <v>767</v>
      </c>
      <c r="B610" s="5"/>
      <c r="C610" s="5"/>
      <c r="D610" s="6"/>
      <c r="E610" s="7"/>
      <c r="Q610" s="7"/>
      <c r="W610" s="7"/>
      <c r="Y610" s="8"/>
    </row>
    <row r="611" spans="1:25" x14ac:dyDescent="0.3">
      <c r="A611" s="3" t="s">
        <v>768</v>
      </c>
      <c r="B611" s="5"/>
      <c r="C611" s="5"/>
      <c r="D611" s="6"/>
      <c r="E611" s="7"/>
      <c r="Q611" s="7"/>
      <c r="W611" s="7"/>
      <c r="Y611" s="8"/>
    </row>
    <row r="612" spans="1:25" x14ac:dyDescent="0.3">
      <c r="A612" s="3" t="s">
        <v>769</v>
      </c>
      <c r="B612" s="5"/>
      <c r="C612" s="5"/>
      <c r="D612" s="6"/>
      <c r="E612" s="7"/>
      <c r="Q612" s="7"/>
      <c r="W612" s="7"/>
      <c r="Y612" s="8"/>
    </row>
    <row r="613" spans="1:25" x14ac:dyDescent="0.3">
      <c r="A613" s="3" t="s">
        <v>770</v>
      </c>
      <c r="B613" s="5"/>
      <c r="C613" s="5"/>
      <c r="D613" s="6"/>
      <c r="E613" s="7"/>
      <c r="Q613" s="7"/>
      <c r="W613" s="7"/>
      <c r="Y613" s="8"/>
    </row>
    <row r="614" spans="1:25" x14ac:dyDescent="0.3">
      <c r="A614" s="3" t="s">
        <v>771</v>
      </c>
      <c r="B614" s="5"/>
      <c r="C614" s="5"/>
      <c r="D614" s="6"/>
      <c r="E614" s="7"/>
      <c r="Q614" s="7"/>
      <c r="W614" s="7"/>
      <c r="Y614" s="8"/>
    </row>
    <row r="615" spans="1:25" x14ac:dyDescent="0.3">
      <c r="A615" s="3" t="s">
        <v>772</v>
      </c>
      <c r="B615" s="5"/>
      <c r="C615" s="5"/>
      <c r="D615" s="6"/>
      <c r="E615" s="7"/>
      <c r="Q615" s="7"/>
      <c r="W615" s="7"/>
      <c r="Y615" s="8"/>
    </row>
    <row r="616" spans="1:25" x14ac:dyDescent="0.3">
      <c r="A616" s="3" t="s">
        <v>773</v>
      </c>
      <c r="B616" s="5"/>
      <c r="C616" s="5"/>
      <c r="D616" s="6"/>
      <c r="E616" s="7"/>
      <c r="Q616" s="7"/>
      <c r="W616" s="7"/>
      <c r="Y616" s="8"/>
    </row>
    <row r="617" spans="1:25" x14ac:dyDescent="0.3">
      <c r="A617" s="3" t="s">
        <v>774</v>
      </c>
      <c r="B617" s="5"/>
      <c r="C617" s="5"/>
      <c r="D617" s="6"/>
      <c r="E617" s="7"/>
      <c r="Q617" s="7"/>
      <c r="W617" s="7"/>
      <c r="Y617" s="8"/>
    </row>
    <row r="618" spans="1:25" x14ac:dyDescent="0.3">
      <c r="A618" s="3" t="s">
        <v>775</v>
      </c>
      <c r="B618" s="5"/>
      <c r="C618" s="5"/>
      <c r="D618" s="6"/>
      <c r="E618" s="7"/>
      <c r="Q618" s="7"/>
      <c r="W618" s="7"/>
      <c r="Y618" s="8"/>
    </row>
    <row r="619" spans="1:25" x14ac:dyDescent="0.3">
      <c r="A619" s="3" t="s">
        <v>776</v>
      </c>
      <c r="B619" s="5"/>
      <c r="C619" s="5"/>
      <c r="D619" s="6"/>
      <c r="E619" s="7"/>
      <c r="Q619" s="7"/>
      <c r="W619" s="7"/>
      <c r="Y619" s="8"/>
    </row>
    <row r="620" spans="1:25" x14ac:dyDescent="0.3">
      <c r="A620" s="3" t="s">
        <v>777</v>
      </c>
      <c r="B620" s="5"/>
      <c r="C620" s="5"/>
      <c r="D620" s="6"/>
      <c r="E620" s="7"/>
      <c r="Q620" s="7"/>
      <c r="W620" s="7"/>
      <c r="Y620" s="8"/>
    </row>
    <row r="621" spans="1:25" x14ac:dyDescent="0.3">
      <c r="A621" s="3" t="s">
        <v>778</v>
      </c>
      <c r="B621" s="5"/>
      <c r="C621" s="5"/>
      <c r="D621" s="6"/>
      <c r="E621" s="7"/>
      <c r="Q621" s="7"/>
      <c r="W621" s="7"/>
      <c r="Y621" s="8"/>
    </row>
    <row r="622" spans="1:25" x14ac:dyDescent="0.3">
      <c r="A622" s="3" t="s">
        <v>779</v>
      </c>
      <c r="B622" s="5"/>
      <c r="C622" s="5"/>
      <c r="D622" s="6"/>
      <c r="E622" s="7"/>
      <c r="Q622" s="7"/>
      <c r="W622" s="7"/>
      <c r="Y622" s="8"/>
    </row>
    <row r="623" spans="1:25" x14ac:dyDescent="0.3">
      <c r="A623" s="3" t="s">
        <v>780</v>
      </c>
      <c r="B623" s="5"/>
      <c r="C623" s="5"/>
      <c r="D623" s="6"/>
      <c r="E623" s="7"/>
      <c r="Q623" s="7"/>
      <c r="W623" s="7"/>
      <c r="Y623" s="8"/>
    </row>
    <row r="624" spans="1:25" x14ac:dyDescent="0.3">
      <c r="A624" s="3" t="s">
        <v>781</v>
      </c>
      <c r="B624" s="5"/>
      <c r="C624" s="5"/>
      <c r="D624" s="6"/>
      <c r="E624" s="7"/>
      <c r="Q624" s="7"/>
      <c r="W624" s="7"/>
      <c r="Y624" s="8"/>
    </row>
    <row r="625" spans="1:25" x14ac:dyDescent="0.3">
      <c r="A625" s="3" t="s">
        <v>782</v>
      </c>
      <c r="B625" s="5"/>
      <c r="C625" s="5"/>
      <c r="D625" s="6"/>
      <c r="E625" s="7"/>
      <c r="Q625" s="7"/>
      <c r="W625" s="7"/>
      <c r="Y625" s="8"/>
    </row>
    <row r="626" spans="1:25" x14ac:dyDescent="0.3">
      <c r="A626" s="3" t="s">
        <v>783</v>
      </c>
      <c r="B626" s="5"/>
      <c r="C626" s="5"/>
      <c r="D626" s="6"/>
      <c r="E626" s="7"/>
      <c r="Q626" s="7"/>
      <c r="W626" s="7"/>
      <c r="Y626" s="8"/>
    </row>
    <row r="627" spans="1:25" x14ac:dyDescent="0.3">
      <c r="A627" s="3" t="s">
        <v>784</v>
      </c>
      <c r="B627" s="5"/>
      <c r="C627" s="5"/>
      <c r="D627" s="6"/>
      <c r="E627" s="7"/>
      <c r="Q627" s="7"/>
      <c r="W627" s="7"/>
      <c r="Y627" s="8"/>
    </row>
    <row r="628" spans="1:25" x14ac:dyDescent="0.3">
      <c r="A628" s="3" t="s">
        <v>785</v>
      </c>
      <c r="B628" s="5"/>
      <c r="C628" s="5"/>
      <c r="D628" s="6"/>
      <c r="E628" s="7"/>
      <c r="Q628" s="7"/>
      <c r="W628" s="7"/>
      <c r="Y628" s="8"/>
    </row>
    <row r="629" spans="1:25" x14ac:dyDescent="0.3">
      <c r="A629" s="3" t="s">
        <v>786</v>
      </c>
      <c r="B629" s="5"/>
      <c r="C629" s="5"/>
      <c r="D629" s="6"/>
      <c r="E629" s="7"/>
      <c r="Q629" s="7"/>
      <c r="W629" s="7"/>
      <c r="Y629" s="8"/>
    </row>
    <row r="630" spans="1:25" x14ac:dyDescent="0.3">
      <c r="A630" s="3" t="s">
        <v>787</v>
      </c>
      <c r="B630" s="5"/>
      <c r="C630" s="5"/>
      <c r="D630" s="6"/>
      <c r="E630" s="7"/>
      <c r="Q630" s="7"/>
      <c r="W630" s="7"/>
      <c r="Y630" s="8"/>
    </row>
    <row r="631" spans="1:25" x14ac:dyDescent="0.3">
      <c r="A631" s="3" t="s">
        <v>788</v>
      </c>
      <c r="B631" s="5"/>
      <c r="C631" s="5"/>
      <c r="D631" s="6"/>
      <c r="E631" s="7"/>
      <c r="Q631" s="7"/>
      <c r="W631" s="7"/>
      <c r="Y631" s="8"/>
    </row>
    <row r="632" spans="1:25" x14ac:dyDescent="0.3">
      <c r="A632" s="3" t="s">
        <v>789</v>
      </c>
      <c r="B632" s="5"/>
      <c r="C632" s="5"/>
      <c r="D632" s="6"/>
      <c r="E632" s="7"/>
      <c r="Q632" s="7"/>
      <c r="W632" s="7"/>
      <c r="Y632" s="8"/>
    </row>
    <row r="633" spans="1:25" x14ac:dyDescent="0.3">
      <c r="A633" s="3" t="s">
        <v>790</v>
      </c>
      <c r="B633" s="5"/>
      <c r="C633" s="5"/>
      <c r="D633" s="6"/>
      <c r="E633" s="7"/>
      <c r="Q633" s="7"/>
      <c r="W633" s="7"/>
      <c r="Y633" s="8"/>
    </row>
    <row r="634" spans="1:25" x14ac:dyDescent="0.3">
      <c r="A634" s="3" t="s">
        <v>791</v>
      </c>
      <c r="B634" s="5"/>
      <c r="C634" s="5"/>
      <c r="D634" s="6"/>
      <c r="E634" s="7"/>
      <c r="Q634" s="7"/>
      <c r="W634" s="7"/>
      <c r="Y634" s="8"/>
    </row>
    <row r="635" spans="1:25" x14ac:dyDescent="0.3">
      <c r="A635" s="3" t="s">
        <v>792</v>
      </c>
      <c r="B635" s="5"/>
      <c r="C635" s="5"/>
      <c r="D635" s="6"/>
      <c r="E635" s="7"/>
      <c r="Q635" s="7"/>
      <c r="W635" s="7"/>
      <c r="Y635" s="8"/>
    </row>
    <row r="636" spans="1:25" x14ac:dyDescent="0.3">
      <c r="A636" s="3" t="s">
        <v>793</v>
      </c>
      <c r="B636" s="5"/>
      <c r="C636" s="5"/>
      <c r="D636" s="6"/>
      <c r="E636" s="7"/>
      <c r="Q636" s="7"/>
      <c r="W636" s="7"/>
      <c r="Y636" s="8"/>
    </row>
    <row r="637" spans="1:25" x14ac:dyDescent="0.3">
      <c r="A637" s="3" t="s">
        <v>794</v>
      </c>
      <c r="B637" s="5"/>
      <c r="C637" s="5"/>
      <c r="D637" s="6"/>
      <c r="E637" s="7"/>
      <c r="Q637" s="7"/>
      <c r="W637" s="7"/>
      <c r="Y637" s="8"/>
    </row>
    <row r="638" spans="1:25" x14ac:dyDescent="0.3">
      <c r="A638" s="3" t="s">
        <v>795</v>
      </c>
      <c r="B638" s="5"/>
      <c r="C638" s="5"/>
      <c r="D638" s="6"/>
      <c r="E638" s="7"/>
      <c r="Q638" s="7"/>
      <c r="W638" s="7"/>
      <c r="Y638" s="8"/>
    </row>
    <row r="639" spans="1:25" x14ac:dyDescent="0.3">
      <c r="A639" s="3" t="s">
        <v>796</v>
      </c>
      <c r="B639" s="5"/>
      <c r="C639" s="5"/>
      <c r="D639" s="6"/>
      <c r="E639" s="7"/>
      <c r="Q639" s="7"/>
      <c r="W639" s="7"/>
      <c r="Y639" s="8"/>
    </row>
    <row r="640" spans="1:25" x14ac:dyDescent="0.3">
      <c r="A640" s="3" t="s">
        <v>797</v>
      </c>
      <c r="B640" s="5"/>
      <c r="C640" s="5"/>
      <c r="D640" s="6"/>
      <c r="E640" s="7"/>
      <c r="Q640" s="7"/>
      <c r="W640" s="7"/>
      <c r="Y640" s="8"/>
    </row>
    <row r="641" spans="1:25" x14ac:dyDescent="0.3">
      <c r="A641" s="3" t="s">
        <v>798</v>
      </c>
      <c r="B641" s="5"/>
      <c r="C641" s="5"/>
      <c r="D641" s="6"/>
      <c r="E641" s="7"/>
      <c r="Q641" s="7"/>
      <c r="W641" s="7"/>
      <c r="Y641" s="8"/>
    </row>
    <row r="642" spans="1:25" x14ac:dyDescent="0.3">
      <c r="A642" s="3" t="s">
        <v>799</v>
      </c>
      <c r="B642" s="5"/>
      <c r="C642" s="5"/>
      <c r="D642" s="6"/>
      <c r="E642" s="7"/>
      <c r="Q642" s="7"/>
      <c r="W642" s="7"/>
      <c r="Y642" s="8"/>
    </row>
    <row r="643" spans="1:25" x14ac:dyDescent="0.3">
      <c r="A643" s="3" t="s">
        <v>800</v>
      </c>
      <c r="B643" s="5"/>
      <c r="C643" s="5"/>
      <c r="D643" s="6"/>
      <c r="E643" s="7"/>
      <c r="Q643" s="7"/>
      <c r="W643" s="7"/>
      <c r="Y643" s="8"/>
    </row>
    <row r="644" spans="1:25" x14ac:dyDescent="0.3">
      <c r="A644" s="3" t="s">
        <v>801</v>
      </c>
      <c r="B644" s="5"/>
      <c r="C644" s="5"/>
      <c r="D644" s="6"/>
      <c r="E644" s="7"/>
      <c r="Q644" s="7"/>
      <c r="W644" s="7"/>
      <c r="Y644" s="8"/>
    </row>
    <row r="645" spans="1:25" x14ac:dyDescent="0.3">
      <c r="A645" s="3" t="s">
        <v>802</v>
      </c>
      <c r="B645" s="5"/>
      <c r="C645" s="5"/>
      <c r="D645" s="6"/>
      <c r="E645" s="7"/>
      <c r="Q645" s="7"/>
      <c r="W645" s="7"/>
      <c r="Y645" s="8"/>
    </row>
    <row r="646" spans="1:25" x14ac:dyDescent="0.3">
      <c r="A646" s="3" t="s">
        <v>803</v>
      </c>
      <c r="B646" s="5"/>
      <c r="C646" s="5"/>
      <c r="D646" s="6"/>
      <c r="E646" s="7"/>
      <c r="Q646" s="7"/>
      <c r="W646" s="7"/>
      <c r="Y646" s="8"/>
    </row>
    <row r="647" spans="1:25" x14ac:dyDescent="0.3">
      <c r="A647" s="3" t="s">
        <v>804</v>
      </c>
      <c r="B647" s="5"/>
      <c r="C647" s="5"/>
      <c r="D647" s="6"/>
      <c r="E647" s="7"/>
      <c r="Q647" s="7"/>
      <c r="W647" s="7"/>
      <c r="Y647" s="8"/>
    </row>
    <row r="648" spans="1:25" x14ac:dyDescent="0.3">
      <c r="A648" s="3" t="s">
        <v>805</v>
      </c>
      <c r="B648" s="5"/>
      <c r="C648" s="5"/>
      <c r="D648" s="6"/>
      <c r="E648" s="7"/>
      <c r="Q648" s="7"/>
      <c r="W648" s="7"/>
      <c r="Y648" s="8"/>
    </row>
    <row r="649" spans="1:25" x14ac:dyDescent="0.3">
      <c r="A649" s="3" t="s">
        <v>806</v>
      </c>
      <c r="B649" s="5"/>
      <c r="C649" s="5"/>
      <c r="D649" s="6"/>
      <c r="E649" s="7"/>
      <c r="Q649" s="7"/>
      <c r="W649" s="7"/>
      <c r="Y649" s="8"/>
    </row>
    <row r="650" spans="1:25" x14ac:dyDescent="0.3">
      <c r="A650" s="3" t="s">
        <v>807</v>
      </c>
      <c r="B650" s="5"/>
      <c r="C650" s="5"/>
      <c r="D650" s="6"/>
      <c r="E650" s="7"/>
      <c r="Q650" s="7"/>
      <c r="W650" s="7"/>
      <c r="Y650" s="8"/>
    </row>
    <row r="651" spans="1:25" x14ac:dyDescent="0.3">
      <c r="A651" s="3" t="s">
        <v>808</v>
      </c>
      <c r="B651" s="5"/>
      <c r="C651" s="5"/>
      <c r="D651" s="6"/>
      <c r="E651" s="7"/>
      <c r="Q651" s="7"/>
      <c r="W651" s="7"/>
      <c r="Y651" s="8"/>
    </row>
    <row r="652" spans="1:25" x14ac:dyDescent="0.3">
      <c r="A652" s="3" t="s">
        <v>809</v>
      </c>
      <c r="B652" s="5"/>
      <c r="C652" s="5"/>
      <c r="D652" s="6"/>
      <c r="E652" s="7"/>
      <c r="Q652" s="7"/>
      <c r="W652" s="7"/>
      <c r="Y652" s="8"/>
    </row>
    <row r="653" spans="1:25" x14ac:dyDescent="0.3">
      <c r="A653" s="3" t="s">
        <v>810</v>
      </c>
      <c r="B653" s="5"/>
      <c r="C653" s="5"/>
      <c r="D653" s="6"/>
      <c r="E653" s="7"/>
      <c r="Q653" s="7"/>
      <c r="W653" s="7"/>
      <c r="Y653" s="8"/>
    </row>
    <row r="654" spans="1:25" x14ac:dyDescent="0.3">
      <c r="A654" s="3" t="s">
        <v>811</v>
      </c>
      <c r="B654" s="5"/>
      <c r="C654" s="5"/>
      <c r="D654" s="6"/>
      <c r="E654" s="7"/>
      <c r="Q654" s="7"/>
      <c r="W654" s="7"/>
      <c r="Y654" s="8"/>
    </row>
    <row r="655" spans="1:25" x14ac:dyDescent="0.3">
      <c r="A655" s="3" t="s">
        <v>812</v>
      </c>
      <c r="B655" s="5"/>
      <c r="C655" s="5"/>
      <c r="D655" s="6"/>
      <c r="E655" s="7"/>
      <c r="Q655" s="7"/>
      <c r="W655" s="7"/>
      <c r="Y655" s="8"/>
    </row>
    <row r="656" spans="1:25" x14ac:dyDescent="0.3">
      <c r="A656" s="3" t="s">
        <v>813</v>
      </c>
      <c r="B656" s="5"/>
      <c r="C656" s="5"/>
      <c r="D656" s="6"/>
      <c r="E656" s="7"/>
      <c r="Q656" s="7"/>
      <c r="W656" s="7"/>
      <c r="Y656" s="8"/>
    </row>
    <row r="657" spans="1:25" x14ac:dyDescent="0.3">
      <c r="A657" s="3" t="s">
        <v>814</v>
      </c>
      <c r="B657" s="5"/>
      <c r="C657" s="5"/>
      <c r="D657" s="6"/>
      <c r="E657" s="7"/>
      <c r="Q657" s="7"/>
      <c r="W657" s="7"/>
      <c r="Y657" s="8"/>
    </row>
    <row r="658" spans="1:25" x14ac:dyDescent="0.3">
      <c r="A658" s="3" t="s">
        <v>815</v>
      </c>
      <c r="B658" s="5"/>
      <c r="C658" s="5"/>
      <c r="D658" s="6"/>
      <c r="E658" s="7"/>
      <c r="Q658" s="7"/>
      <c r="W658" s="7"/>
      <c r="Y658" s="8"/>
    </row>
    <row r="659" spans="1:25" x14ac:dyDescent="0.3">
      <c r="A659" s="3" t="s">
        <v>816</v>
      </c>
      <c r="B659" s="5"/>
      <c r="C659" s="5"/>
      <c r="D659" s="6"/>
      <c r="E659" s="7"/>
      <c r="Q659" s="7"/>
      <c r="W659" s="7"/>
      <c r="Y659" s="8"/>
    </row>
    <row r="660" spans="1:25" x14ac:dyDescent="0.3">
      <c r="A660" s="3" t="s">
        <v>817</v>
      </c>
      <c r="B660" s="5"/>
      <c r="C660" s="5"/>
      <c r="D660" s="6"/>
      <c r="E660" s="7"/>
      <c r="Q660" s="7"/>
      <c r="W660" s="7"/>
      <c r="Y660" s="8"/>
    </row>
    <row r="661" spans="1:25" x14ac:dyDescent="0.3">
      <c r="A661" s="3" t="s">
        <v>818</v>
      </c>
      <c r="B661" s="5"/>
      <c r="C661" s="5"/>
      <c r="D661" s="6"/>
      <c r="E661" s="7"/>
      <c r="Q661" s="7"/>
      <c r="W661" s="7"/>
      <c r="Y661" s="8"/>
    </row>
    <row r="662" spans="1:25" x14ac:dyDescent="0.3">
      <c r="A662" s="3" t="s">
        <v>819</v>
      </c>
      <c r="B662" s="5"/>
      <c r="C662" s="5"/>
      <c r="D662" s="6"/>
      <c r="E662" s="7"/>
      <c r="Q662" s="7"/>
      <c r="W662" s="7"/>
      <c r="Y662" s="8"/>
    </row>
    <row r="663" spans="1:25" x14ac:dyDescent="0.3">
      <c r="A663" s="3" t="s">
        <v>820</v>
      </c>
      <c r="B663" s="5"/>
      <c r="C663" s="5"/>
      <c r="D663" s="6"/>
      <c r="E663" s="7"/>
      <c r="Q663" s="7"/>
      <c r="W663" s="7"/>
      <c r="Y663" s="8"/>
    </row>
    <row r="664" spans="1:25" x14ac:dyDescent="0.3">
      <c r="A664" s="3" t="s">
        <v>821</v>
      </c>
      <c r="B664" s="5"/>
      <c r="C664" s="5"/>
      <c r="D664" s="6"/>
      <c r="E664" s="7"/>
      <c r="Q664" s="7"/>
      <c r="W664" s="7"/>
      <c r="Y664" s="8"/>
    </row>
    <row r="665" spans="1:25" x14ac:dyDescent="0.3">
      <c r="A665" s="3" t="s">
        <v>822</v>
      </c>
      <c r="B665" s="5"/>
      <c r="C665" s="5"/>
      <c r="D665" s="6"/>
      <c r="E665" s="7"/>
      <c r="Q665" s="7"/>
      <c r="W665" s="7"/>
      <c r="Y665" s="8"/>
    </row>
    <row r="666" spans="1:25" x14ac:dyDescent="0.3">
      <c r="A666" s="3" t="s">
        <v>823</v>
      </c>
      <c r="B666" s="5"/>
      <c r="C666" s="5"/>
      <c r="D666" s="6"/>
      <c r="E666" s="7"/>
      <c r="Q666" s="7"/>
      <c r="W666" s="7"/>
      <c r="Y666" s="8"/>
    </row>
    <row r="667" spans="1:25" x14ac:dyDescent="0.3">
      <c r="A667" s="3" t="s">
        <v>824</v>
      </c>
      <c r="B667" s="5"/>
      <c r="C667" s="5"/>
      <c r="D667" s="6"/>
      <c r="E667" s="7"/>
      <c r="Q667" s="7"/>
      <c r="W667" s="7"/>
      <c r="Y667" s="8"/>
    </row>
    <row r="668" spans="1:25" x14ac:dyDescent="0.3">
      <c r="A668" s="3" t="s">
        <v>825</v>
      </c>
      <c r="B668" s="5"/>
      <c r="C668" s="5"/>
      <c r="D668" s="6"/>
      <c r="E668" s="7"/>
      <c r="Q668" s="7"/>
      <c r="W668" s="7"/>
      <c r="Y668" s="8"/>
    </row>
    <row r="669" spans="1:25" x14ac:dyDescent="0.3">
      <c r="A669" s="3" t="s">
        <v>826</v>
      </c>
      <c r="B669" s="5"/>
      <c r="C669" s="5"/>
      <c r="D669" s="6"/>
      <c r="E669" s="7"/>
      <c r="Q669" s="7"/>
      <c r="W669" s="7"/>
      <c r="Y669" s="8"/>
    </row>
    <row r="670" spans="1:25" x14ac:dyDescent="0.3">
      <c r="A670" s="3" t="s">
        <v>827</v>
      </c>
      <c r="B670" s="5"/>
      <c r="C670" s="5"/>
      <c r="D670" s="6"/>
      <c r="E670" s="7"/>
      <c r="Q670" s="7"/>
      <c r="W670" s="7"/>
      <c r="Y670" s="8"/>
    </row>
    <row r="671" spans="1:25" x14ac:dyDescent="0.3">
      <c r="A671" s="3" t="s">
        <v>828</v>
      </c>
      <c r="B671" s="5"/>
      <c r="C671" s="5"/>
      <c r="D671" s="6"/>
      <c r="E671" s="7"/>
      <c r="Q671" s="7"/>
      <c r="W671" s="7"/>
      <c r="Y671" s="8"/>
    </row>
    <row r="672" spans="1:25" x14ac:dyDescent="0.3">
      <c r="A672" s="3" t="s">
        <v>829</v>
      </c>
      <c r="B672" s="5"/>
      <c r="C672" s="5"/>
      <c r="D672" s="6"/>
      <c r="E672" s="7"/>
      <c r="Q672" s="7"/>
      <c r="W672" s="7"/>
      <c r="Y672" s="8"/>
    </row>
    <row r="673" spans="1:25" x14ac:dyDescent="0.3">
      <c r="A673" s="3" t="s">
        <v>830</v>
      </c>
      <c r="B673" s="5"/>
      <c r="C673" s="5"/>
      <c r="D673" s="6"/>
      <c r="E673" s="7"/>
      <c r="Q673" s="7"/>
      <c r="W673" s="7"/>
      <c r="Y673" s="8"/>
    </row>
    <row r="674" spans="1:25" x14ac:dyDescent="0.3">
      <c r="A674" s="3" t="s">
        <v>831</v>
      </c>
      <c r="B674" s="5"/>
      <c r="C674" s="5"/>
      <c r="D674" s="6"/>
      <c r="E674" s="7"/>
      <c r="Q674" s="7"/>
      <c r="W674" s="7"/>
      <c r="Y674" s="8"/>
    </row>
    <row r="675" spans="1:25" x14ac:dyDescent="0.3">
      <c r="A675" s="3" t="s">
        <v>832</v>
      </c>
      <c r="B675" s="5"/>
      <c r="C675" s="5"/>
      <c r="D675" s="6"/>
      <c r="E675" s="7"/>
      <c r="Q675" s="7"/>
      <c r="W675" s="7"/>
      <c r="Y675" s="8"/>
    </row>
    <row r="676" spans="1:25" x14ac:dyDescent="0.3">
      <c r="A676" s="3" t="s">
        <v>833</v>
      </c>
      <c r="B676" s="5"/>
      <c r="C676" s="5"/>
      <c r="D676" s="6"/>
      <c r="E676" s="7"/>
      <c r="Q676" s="7"/>
      <c r="W676" s="7"/>
      <c r="Y676" s="8"/>
    </row>
    <row r="677" spans="1:25" x14ac:dyDescent="0.3">
      <c r="A677" s="3" t="s">
        <v>834</v>
      </c>
      <c r="B677" s="5"/>
      <c r="C677" s="5"/>
      <c r="D677" s="6"/>
      <c r="E677" s="7"/>
      <c r="Q677" s="7"/>
      <c r="W677" s="7"/>
      <c r="Y677" s="8"/>
    </row>
    <row r="678" spans="1:25" x14ac:dyDescent="0.3">
      <c r="A678" s="3" t="s">
        <v>835</v>
      </c>
      <c r="B678" s="5"/>
      <c r="C678" s="5"/>
      <c r="D678" s="6"/>
      <c r="E678" s="7"/>
      <c r="Q678" s="7"/>
      <c r="W678" s="7"/>
      <c r="Y678" s="8"/>
    </row>
    <row r="679" spans="1:25" x14ac:dyDescent="0.3">
      <c r="A679" s="3" t="s">
        <v>836</v>
      </c>
      <c r="B679" s="5"/>
      <c r="C679" s="5"/>
      <c r="D679" s="6"/>
      <c r="E679" s="7"/>
      <c r="Q679" s="7"/>
      <c r="W679" s="7"/>
      <c r="Y679" s="8"/>
    </row>
    <row r="680" spans="1:25" x14ac:dyDescent="0.3">
      <c r="A680" s="3" t="s">
        <v>837</v>
      </c>
      <c r="B680" s="5"/>
      <c r="C680" s="5"/>
      <c r="D680" s="6"/>
      <c r="E680" s="7"/>
      <c r="Q680" s="7"/>
      <c r="W680" s="7"/>
      <c r="Y680" s="8"/>
    </row>
    <row r="681" spans="1:25" x14ac:dyDescent="0.3">
      <c r="A681" s="3" t="s">
        <v>838</v>
      </c>
      <c r="B681" s="5"/>
      <c r="C681" s="5"/>
      <c r="D681" s="6"/>
      <c r="E681" s="7"/>
      <c r="Q681" s="7"/>
      <c r="W681" s="7"/>
      <c r="Y681" s="8"/>
    </row>
    <row r="682" spans="1:25" x14ac:dyDescent="0.3">
      <c r="A682" s="3" t="s">
        <v>839</v>
      </c>
      <c r="B682" s="5"/>
      <c r="C682" s="5"/>
      <c r="D682" s="6"/>
      <c r="E682" s="7"/>
      <c r="Q682" s="7"/>
      <c r="W682" s="7"/>
      <c r="Y682" s="8"/>
    </row>
    <row r="683" spans="1:25" x14ac:dyDescent="0.3">
      <c r="A683" s="3" t="s">
        <v>840</v>
      </c>
      <c r="B683" s="5"/>
      <c r="C683" s="5"/>
      <c r="D683" s="6"/>
      <c r="E683" s="7"/>
      <c r="Q683" s="7"/>
      <c r="W683" s="7"/>
      <c r="Y683" s="8"/>
    </row>
    <row r="684" spans="1:25" x14ac:dyDescent="0.3">
      <c r="A684" s="3" t="s">
        <v>841</v>
      </c>
      <c r="B684" s="5"/>
      <c r="C684" s="5"/>
      <c r="D684" s="6"/>
      <c r="E684" s="7"/>
      <c r="Q684" s="7"/>
      <c r="W684" s="7"/>
      <c r="Y684" s="8"/>
    </row>
    <row r="685" spans="1:25" x14ac:dyDescent="0.3">
      <c r="A685" s="3" t="s">
        <v>842</v>
      </c>
      <c r="B685" s="5"/>
      <c r="C685" s="5"/>
      <c r="D685" s="6"/>
      <c r="E685" s="7"/>
      <c r="Q685" s="7"/>
      <c r="W685" s="7"/>
      <c r="Y685" s="8"/>
    </row>
    <row r="686" spans="1:25" x14ac:dyDescent="0.3">
      <c r="A686" s="3" t="s">
        <v>843</v>
      </c>
      <c r="B686" s="5"/>
      <c r="C686" s="5"/>
      <c r="D686" s="6"/>
      <c r="E686" s="7"/>
      <c r="Q686" s="7"/>
      <c r="W686" s="7"/>
      <c r="Y686" s="8"/>
    </row>
    <row r="687" spans="1:25" x14ac:dyDescent="0.3">
      <c r="A687" s="3" t="s">
        <v>844</v>
      </c>
      <c r="B687" s="5"/>
      <c r="C687" s="5"/>
      <c r="D687" s="6"/>
      <c r="E687" s="7"/>
      <c r="Q687" s="7"/>
      <c r="W687" s="7"/>
      <c r="Y687" s="8"/>
    </row>
    <row r="688" spans="1:25" x14ac:dyDescent="0.3">
      <c r="A688" s="3" t="s">
        <v>845</v>
      </c>
      <c r="B688" s="5"/>
      <c r="C688" s="5"/>
      <c r="D688" s="6"/>
      <c r="E688" s="7"/>
      <c r="Q688" s="7"/>
      <c r="W688" s="7"/>
      <c r="Y688" s="8"/>
    </row>
    <row r="689" spans="1:25" x14ac:dyDescent="0.3">
      <c r="A689" s="3" t="s">
        <v>846</v>
      </c>
      <c r="B689" s="5"/>
      <c r="C689" s="5"/>
      <c r="D689" s="6"/>
      <c r="E689" s="7"/>
      <c r="Q689" s="7"/>
      <c r="W689" s="7"/>
      <c r="Y689" s="8"/>
    </row>
    <row r="690" spans="1:25" x14ac:dyDescent="0.3">
      <c r="A690" s="3" t="s">
        <v>847</v>
      </c>
      <c r="B690" s="5"/>
      <c r="C690" s="5"/>
      <c r="D690" s="6"/>
      <c r="E690" s="7"/>
      <c r="Q690" s="7"/>
      <c r="W690" s="7"/>
      <c r="Y690" s="8"/>
    </row>
    <row r="691" spans="1:25" x14ac:dyDescent="0.3">
      <c r="A691" s="3" t="s">
        <v>848</v>
      </c>
      <c r="B691" s="5"/>
      <c r="C691" s="5"/>
      <c r="D691" s="6"/>
      <c r="E691" s="7"/>
      <c r="Q691" s="7"/>
      <c r="W691" s="7"/>
      <c r="Y691" s="8"/>
    </row>
    <row r="692" spans="1:25" x14ac:dyDescent="0.3">
      <c r="A692" s="3" t="s">
        <v>849</v>
      </c>
      <c r="B692" s="5"/>
      <c r="C692" s="5"/>
      <c r="D692" s="6"/>
      <c r="E692" s="7"/>
      <c r="Q692" s="7"/>
      <c r="W692" s="7"/>
      <c r="Y692" s="8"/>
    </row>
    <row r="693" spans="1:25" x14ac:dyDescent="0.3">
      <c r="A693" s="3" t="s">
        <v>850</v>
      </c>
      <c r="B693" s="5"/>
      <c r="C693" s="5"/>
      <c r="D693" s="6"/>
      <c r="E693" s="7"/>
      <c r="Q693" s="7"/>
      <c r="W693" s="7"/>
      <c r="Y693" s="8"/>
    </row>
    <row r="694" spans="1:25" x14ac:dyDescent="0.3">
      <c r="A694" s="3" t="s">
        <v>851</v>
      </c>
      <c r="B694" s="5"/>
      <c r="C694" s="5"/>
      <c r="D694" s="6"/>
      <c r="E694" s="7"/>
      <c r="Q694" s="7"/>
      <c r="W694" s="7"/>
      <c r="Y694" s="8"/>
    </row>
    <row r="695" spans="1:25" x14ac:dyDescent="0.3">
      <c r="A695" s="3" t="s">
        <v>852</v>
      </c>
      <c r="B695" s="5"/>
      <c r="C695" s="5"/>
      <c r="D695" s="6"/>
      <c r="E695" s="7"/>
      <c r="Q695" s="7"/>
      <c r="W695" s="7"/>
      <c r="Y695" s="8"/>
    </row>
    <row r="696" spans="1:25" x14ac:dyDescent="0.3">
      <c r="A696" s="3" t="s">
        <v>853</v>
      </c>
      <c r="B696" s="5"/>
      <c r="C696" s="5"/>
      <c r="D696" s="6"/>
      <c r="E696" s="7"/>
      <c r="Q696" s="7"/>
      <c r="W696" s="7"/>
      <c r="Y696" s="8"/>
    </row>
    <row r="697" spans="1:25" x14ac:dyDescent="0.3">
      <c r="A697" s="3" t="s">
        <v>854</v>
      </c>
      <c r="B697" s="5"/>
      <c r="C697" s="5"/>
      <c r="D697" s="6"/>
      <c r="E697" s="7"/>
      <c r="Q697" s="7"/>
      <c r="W697" s="7"/>
      <c r="Y697" s="8"/>
    </row>
    <row r="698" spans="1:25" x14ac:dyDescent="0.3">
      <c r="A698" s="3" t="s">
        <v>855</v>
      </c>
      <c r="B698" s="5"/>
      <c r="C698" s="5"/>
      <c r="D698" s="6"/>
      <c r="E698" s="7"/>
      <c r="Q698" s="7"/>
      <c r="W698" s="7"/>
      <c r="Y698" s="8"/>
    </row>
    <row r="699" spans="1:25" x14ac:dyDescent="0.3">
      <c r="A699" s="3" t="s">
        <v>856</v>
      </c>
      <c r="B699" s="5"/>
      <c r="C699" s="5"/>
      <c r="D699" s="6"/>
      <c r="E699" s="7"/>
      <c r="Q699" s="7"/>
      <c r="W699" s="7"/>
      <c r="Y699" s="8"/>
    </row>
    <row r="700" spans="1:25" x14ac:dyDescent="0.3">
      <c r="A700" s="3" t="s">
        <v>857</v>
      </c>
      <c r="B700" s="5"/>
      <c r="C700" s="5"/>
      <c r="D700" s="6"/>
      <c r="E700" s="7"/>
      <c r="Q700" s="7"/>
      <c r="W700" s="7"/>
      <c r="Y700" s="8"/>
    </row>
    <row r="701" spans="1:25" x14ac:dyDescent="0.3">
      <c r="A701" s="3" t="s">
        <v>858</v>
      </c>
      <c r="B701" s="5"/>
      <c r="C701" s="5"/>
      <c r="D701" s="6"/>
      <c r="E701" s="7"/>
      <c r="Q701" s="7"/>
      <c r="W701" s="7"/>
      <c r="Y701" s="8"/>
    </row>
    <row r="702" spans="1:25" x14ac:dyDescent="0.3">
      <c r="A702" s="3" t="s">
        <v>859</v>
      </c>
      <c r="B702" s="5"/>
      <c r="C702" s="5"/>
      <c r="D702" s="6"/>
      <c r="E702" s="7"/>
      <c r="Q702" s="7"/>
      <c r="W702" s="7"/>
      <c r="Y702" s="8"/>
    </row>
    <row r="703" spans="1:25" x14ac:dyDescent="0.3">
      <c r="A703" s="3" t="s">
        <v>860</v>
      </c>
      <c r="B703" s="5"/>
      <c r="C703" s="5"/>
      <c r="D703" s="6"/>
      <c r="E703" s="7"/>
      <c r="Q703" s="7"/>
      <c r="W703" s="7"/>
      <c r="Y703" s="8"/>
    </row>
    <row r="704" spans="1:25" x14ac:dyDescent="0.3">
      <c r="A704" s="3" t="s">
        <v>861</v>
      </c>
      <c r="B704" s="5"/>
      <c r="C704" s="5"/>
      <c r="D704" s="6"/>
      <c r="E704" s="7"/>
      <c r="Q704" s="7"/>
      <c r="W704" s="7"/>
      <c r="Y704" s="8"/>
    </row>
    <row r="705" spans="1:25" x14ac:dyDescent="0.3">
      <c r="A705" s="3" t="s">
        <v>862</v>
      </c>
      <c r="B705" s="5"/>
      <c r="C705" s="5"/>
      <c r="D705" s="6"/>
      <c r="E705" s="7"/>
      <c r="Q705" s="7"/>
      <c r="W705" s="7"/>
      <c r="Y705" s="8"/>
    </row>
    <row r="706" spans="1:25" x14ac:dyDescent="0.3">
      <c r="A706" s="3" t="s">
        <v>863</v>
      </c>
      <c r="B706" s="5"/>
      <c r="C706" s="5"/>
      <c r="D706" s="6"/>
      <c r="E706" s="7"/>
      <c r="Q706" s="7"/>
      <c r="W706" s="7"/>
      <c r="Y706" s="8"/>
    </row>
    <row r="707" spans="1:25" x14ac:dyDescent="0.3">
      <c r="A707" s="3" t="s">
        <v>864</v>
      </c>
      <c r="B707" s="5"/>
      <c r="C707" s="5"/>
      <c r="D707" s="6"/>
      <c r="E707" s="7"/>
      <c r="Q707" s="7"/>
      <c r="W707" s="7"/>
      <c r="Y707" s="8"/>
    </row>
    <row r="708" spans="1:25" x14ac:dyDescent="0.3">
      <c r="A708" s="3" t="s">
        <v>865</v>
      </c>
      <c r="B708" s="5"/>
      <c r="C708" s="5"/>
      <c r="D708" s="6"/>
      <c r="E708" s="7"/>
      <c r="Q708" s="7"/>
      <c r="W708" s="7"/>
      <c r="Y708" s="8"/>
    </row>
    <row r="709" spans="1:25" x14ac:dyDescent="0.3">
      <c r="A709" s="3" t="s">
        <v>866</v>
      </c>
      <c r="B709" s="5"/>
      <c r="C709" s="5"/>
      <c r="D709" s="6"/>
      <c r="E709" s="7"/>
      <c r="Q709" s="7"/>
      <c r="W709" s="7"/>
      <c r="Y709" s="8"/>
    </row>
    <row r="710" spans="1:25" x14ac:dyDescent="0.3">
      <c r="A710" s="3" t="s">
        <v>867</v>
      </c>
      <c r="B710" s="5"/>
      <c r="C710" s="5"/>
      <c r="D710" s="6"/>
      <c r="E710" s="7"/>
      <c r="Q710" s="7"/>
      <c r="W710" s="7"/>
      <c r="Y710" s="8"/>
    </row>
    <row r="711" spans="1:25" x14ac:dyDescent="0.3">
      <c r="A711" s="3" t="s">
        <v>868</v>
      </c>
      <c r="B711" s="5"/>
      <c r="C711" s="5"/>
      <c r="D711" s="6"/>
      <c r="E711" s="7"/>
      <c r="Q711" s="7"/>
      <c r="W711" s="7"/>
      <c r="Y711" s="8"/>
    </row>
    <row r="712" spans="1:25" x14ac:dyDescent="0.3">
      <c r="A712" s="3" t="s">
        <v>869</v>
      </c>
      <c r="B712" s="5"/>
      <c r="C712" s="5"/>
      <c r="D712" s="6"/>
      <c r="E712" s="7"/>
      <c r="Q712" s="7"/>
      <c r="W712" s="7"/>
      <c r="Y712" s="8"/>
    </row>
    <row r="713" spans="1:25" x14ac:dyDescent="0.3">
      <c r="A713" s="3" t="s">
        <v>870</v>
      </c>
      <c r="B713" s="5"/>
      <c r="C713" s="5"/>
      <c r="D713" s="6"/>
      <c r="E713" s="7"/>
      <c r="Q713" s="7"/>
      <c r="W713" s="7"/>
      <c r="Y713" s="8"/>
    </row>
    <row r="714" spans="1:25" x14ac:dyDescent="0.3">
      <c r="A714" s="3" t="s">
        <v>871</v>
      </c>
      <c r="B714" s="5"/>
      <c r="C714" s="5"/>
      <c r="D714" s="6"/>
      <c r="E714" s="7"/>
      <c r="Q714" s="7"/>
      <c r="W714" s="7"/>
      <c r="Y714" s="8"/>
    </row>
    <row r="715" spans="1:25" x14ac:dyDescent="0.3">
      <c r="A715" s="3" t="s">
        <v>872</v>
      </c>
      <c r="B715" s="5"/>
      <c r="C715" s="5"/>
      <c r="D715" s="6"/>
      <c r="E715" s="7"/>
      <c r="Q715" s="7"/>
      <c r="W715" s="7"/>
      <c r="Y715" s="8"/>
    </row>
    <row r="716" spans="1:25" x14ac:dyDescent="0.3">
      <c r="A716" s="3" t="s">
        <v>873</v>
      </c>
      <c r="B716" s="5"/>
      <c r="C716" s="5"/>
      <c r="D716" s="6"/>
      <c r="E716" s="7"/>
      <c r="Q716" s="7"/>
      <c r="W716" s="7"/>
      <c r="Y716" s="8"/>
    </row>
    <row r="717" spans="1:25" x14ac:dyDescent="0.3">
      <c r="A717" s="3" t="s">
        <v>874</v>
      </c>
      <c r="B717" s="5"/>
      <c r="C717" s="5"/>
      <c r="D717" s="6"/>
      <c r="E717" s="7"/>
      <c r="Q717" s="7"/>
      <c r="W717" s="7"/>
      <c r="Y717" s="8"/>
    </row>
    <row r="718" spans="1:25" x14ac:dyDescent="0.3">
      <c r="A718" s="3" t="s">
        <v>875</v>
      </c>
      <c r="B718" s="5"/>
      <c r="C718" s="5"/>
      <c r="D718" s="6"/>
      <c r="E718" s="7"/>
      <c r="Q718" s="7"/>
      <c r="W718" s="7"/>
      <c r="Y718" s="8"/>
    </row>
    <row r="719" spans="1:25" x14ac:dyDescent="0.3">
      <c r="A719" s="3" t="s">
        <v>876</v>
      </c>
      <c r="B719" s="5"/>
      <c r="C719" s="5"/>
      <c r="D719" s="6"/>
      <c r="E719" s="7"/>
      <c r="Q719" s="7"/>
      <c r="W719" s="7"/>
      <c r="Y719" s="8"/>
    </row>
    <row r="720" spans="1:25" x14ac:dyDescent="0.3">
      <c r="A720" s="3" t="s">
        <v>877</v>
      </c>
      <c r="B720" s="5"/>
      <c r="C720" s="5"/>
      <c r="D720" s="6"/>
      <c r="E720" s="7"/>
      <c r="Q720" s="7"/>
      <c r="W720" s="7"/>
      <c r="Y720" s="8"/>
    </row>
    <row r="721" spans="1:25" x14ac:dyDescent="0.3">
      <c r="A721" s="3" t="s">
        <v>878</v>
      </c>
      <c r="B721" s="5"/>
      <c r="C721" s="5"/>
      <c r="D721" s="6"/>
      <c r="E721" s="7"/>
      <c r="Q721" s="7"/>
      <c r="W721" s="7"/>
      <c r="Y721" s="8"/>
    </row>
    <row r="722" spans="1:25" x14ac:dyDescent="0.3">
      <c r="A722" s="3" t="s">
        <v>879</v>
      </c>
      <c r="B722" s="5"/>
      <c r="C722" s="5"/>
      <c r="D722" s="6"/>
      <c r="E722" s="7"/>
      <c r="Q722" s="7"/>
      <c r="W722" s="7"/>
      <c r="Y722" s="8"/>
    </row>
    <row r="723" spans="1:25" x14ac:dyDescent="0.3">
      <c r="A723" s="3" t="s">
        <v>880</v>
      </c>
      <c r="B723" s="5"/>
      <c r="C723" s="5"/>
      <c r="D723" s="6"/>
      <c r="E723" s="7"/>
      <c r="Q723" s="7"/>
      <c r="W723" s="7"/>
      <c r="Y723" s="8"/>
    </row>
    <row r="724" spans="1:25" x14ac:dyDescent="0.3">
      <c r="A724" s="3" t="s">
        <v>881</v>
      </c>
      <c r="B724" s="5"/>
      <c r="C724" s="5"/>
      <c r="D724" s="6"/>
      <c r="E724" s="7"/>
      <c r="Q724" s="7"/>
      <c r="W724" s="7"/>
      <c r="Y724" s="8"/>
    </row>
    <row r="725" spans="1:25" x14ac:dyDescent="0.3">
      <c r="A725" s="3" t="s">
        <v>882</v>
      </c>
      <c r="B725" s="5"/>
      <c r="C725" s="5"/>
      <c r="D725" s="6"/>
      <c r="E725" s="7"/>
      <c r="Q725" s="7"/>
      <c r="W725" s="7"/>
      <c r="Y725" s="8"/>
    </row>
    <row r="726" spans="1:25" x14ac:dyDescent="0.3">
      <c r="A726" s="3" t="s">
        <v>883</v>
      </c>
      <c r="B726" s="5"/>
      <c r="C726" s="5"/>
      <c r="D726" s="6"/>
      <c r="E726" s="7"/>
      <c r="Q726" s="7"/>
      <c r="W726" s="7"/>
      <c r="Y726" s="8"/>
    </row>
    <row r="727" spans="1:25" x14ac:dyDescent="0.3">
      <c r="A727" s="3" t="s">
        <v>884</v>
      </c>
      <c r="B727" s="5"/>
      <c r="C727" s="5"/>
      <c r="D727" s="6"/>
      <c r="E727" s="7"/>
      <c r="Q727" s="7"/>
      <c r="W727" s="7"/>
      <c r="Y727" s="8"/>
    </row>
    <row r="728" spans="1:25" x14ac:dyDescent="0.3">
      <c r="A728" s="3" t="s">
        <v>885</v>
      </c>
      <c r="B728" s="5"/>
      <c r="C728" s="5"/>
      <c r="D728" s="6"/>
      <c r="E728" s="7"/>
      <c r="Q728" s="7"/>
      <c r="W728" s="7"/>
      <c r="Y728" s="8"/>
    </row>
    <row r="729" spans="1:25" x14ac:dyDescent="0.3">
      <c r="A729" s="3" t="s">
        <v>886</v>
      </c>
      <c r="B729" s="5"/>
      <c r="C729" s="5"/>
      <c r="D729" s="6"/>
      <c r="E729" s="7"/>
      <c r="Q729" s="7"/>
      <c r="W729" s="7"/>
      <c r="Y729" s="8"/>
    </row>
    <row r="730" spans="1:25" x14ac:dyDescent="0.3">
      <c r="A730" s="3" t="s">
        <v>887</v>
      </c>
      <c r="B730" s="5"/>
      <c r="C730" s="5"/>
      <c r="D730" s="6"/>
      <c r="E730" s="7"/>
      <c r="Q730" s="7"/>
      <c r="W730" s="7"/>
      <c r="Y730" s="8"/>
    </row>
    <row r="731" spans="1:25" x14ac:dyDescent="0.3">
      <c r="A731" s="3" t="s">
        <v>888</v>
      </c>
      <c r="B731" s="5"/>
      <c r="C731" s="5"/>
      <c r="D731" s="6"/>
      <c r="E731" s="7"/>
      <c r="Q731" s="7"/>
      <c r="W731" s="7"/>
      <c r="Y731" s="8"/>
    </row>
    <row r="732" spans="1:25" x14ac:dyDescent="0.3">
      <c r="A732" s="3" t="s">
        <v>889</v>
      </c>
      <c r="B732" s="5"/>
      <c r="C732" s="5"/>
      <c r="D732" s="6"/>
      <c r="E732" s="7"/>
      <c r="Q732" s="7"/>
      <c r="W732" s="7"/>
      <c r="Y732" s="8"/>
    </row>
    <row r="733" spans="1:25" x14ac:dyDescent="0.3">
      <c r="A733" s="3" t="s">
        <v>890</v>
      </c>
      <c r="B733" s="5"/>
      <c r="C733" s="5"/>
      <c r="D733" s="6"/>
      <c r="E733" s="7"/>
      <c r="Q733" s="7"/>
      <c r="W733" s="7"/>
      <c r="Y733" s="8"/>
    </row>
    <row r="734" spans="1:25" x14ac:dyDescent="0.3">
      <c r="A734" s="3" t="s">
        <v>891</v>
      </c>
      <c r="B734" s="5"/>
      <c r="C734" s="5"/>
      <c r="D734" s="6"/>
      <c r="E734" s="7"/>
      <c r="Q734" s="7"/>
      <c r="W734" s="7"/>
      <c r="Y734" s="8"/>
    </row>
    <row r="735" spans="1:25" x14ac:dyDescent="0.3">
      <c r="A735" s="3" t="s">
        <v>892</v>
      </c>
      <c r="B735" s="5"/>
      <c r="C735" s="5"/>
      <c r="D735" s="6"/>
      <c r="E735" s="7"/>
      <c r="Q735" s="7"/>
      <c r="W735" s="7"/>
      <c r="Y735" s="8"/>
    </row>
    <row r="736" spans="1:25" x14ac:dyDescent="0.3">
      <c r="A736" s="3" t="s">
        <v>893</v>
      </c>
      <c r="B736" s="5"/>
      <c r="C736" s="5"/>
      <c r="D736" s="6"/>
      <c r="E736" s="7"/>
      <c r="Q736" s="7"/>
      <c r="W736" s="7"/>
      <c r="Y736" s="8"/>
    </row>
    <row r="737" spans="1:25" x14ac:dyDescent="0.3">
      <c r="A737" s="3" t="s">
        <v>894</v>
      </c>
      <c r="B737" s="5"/>
      <c r="C737" s="5"/>
      <c r="D737" s="6"/>
      <c r="E737" s="7"/>
      <c r="Q737" s="7"/>
      <c r="W737" s="7"/>
      <c r="Y737" s="8"/>
    </row>
    <row r="738" spans="1:25" x14ac:dyDescent="0.3">
      <c r="A738" s="3" t="s">
        <v>895</v>
      </c>
      <c r="B738" s="5"/>
      <c r="C738" s="5"/>
      <c r="D738" s="6"/>
      <c r="E738" s="7"/>
      <c r="Q738" s="7"/>
      <c r="W738" s="7"/>
      <c r="Y738" s="8"/>
    </row>
    <row r="739" spans="1:25" x14ac:dyDescent="0.3">
      <c r="A739" s="3" t="s">
        <v>896</v>
      </c>
      <c r="B739" s="5"/>
      <c r="C739" s="5"/>
      <c r="D739" s="6"/>
      <c r="E739" s="7"/>
      <c r="Q739" s="7"/>
      <c r="W739" s="7"/>
      <c r="Y739" s="8"/>
    </row>
    <row r="740" spans="1:25" x14ac:dyDescent="0.3">
      <c r="A740" s="3" t="s">
        <v>897</v>
      </c>
      <c r="B740" s="5"/>
      <c r="C740" s="5"/>
      <c r="D740" s="6"/>
      <c r="E740" s="7"/>
      <c r="Q740" s="7"/>
      <c r="W740" s="7"/>
      <c r="Y740" s="8"/>
    </row>
    <row r="741" spans="1:25" x14ac:dyDescent="0.3">
      <c r="A741" s="3" t="s">
        <v>898</v>
      </c>
      <c r="B741" s="5"/>
      <c r="C741" s="5"/>
      <c r="D741" s="6"/>
      <c r="E741" s="7"/>
      <c r="Q741" s="7"/>
      <c r="W741" s="7"/>
      <c r="Y741" s="8"/>
    </row>
    <row r="742" spans="1:25" x14ac:dyDescent="0.3">
      <c r="A742" s="3" t="s">
        <v>899</v>
      </c>
      <c r="B742" s="5"/>
      <c r="C742" s="5"/>
      <c r="D742" s="6"/>
      <c r="E742" s="7"/>
      <c r="Q742" s="7"/>
      <c r="W742" s="7"/>
      <c r="Y742" s="8"/>
    </row>
    <row r="743" spans="1:25" x14ac:dyDescent="0.3">
      <c r="A743" s="3" t="s">
        <v>900</v>
      </c>
      <c r="B743" s="5"/>
      <c r="C743" s="5"/>
      <c r="D743" s="6"/>
      <c r="E743" s="7"/>
      <c r="Q743" s="7"/>
      <c r="W743" s="7"/>
      <c r="Y743" s="8"/>
    </row>
    <row r="744" spans="1:25" x14ac:dyDescent="0.3">
      <c r="A744" s="3" t="s">
        <v>901</v>
      </c>
      <c r="B744" s="5"/>
      <c r="C744" s="5"/>
      <c r="D744" s="6"/>
      <c r="E744" s="7"/>
      <c r="Q744" s="7"/>
      <c r="W744" s="7"/>
      <c r="Y744" s="8"/>
    </row>
    <row r="745" spans="1:25" x14ac:dyDescent="0.3">
      <c r="A745" s="3" t="s">
        <v>902</v>
      </c>
      <c r="B745" s="5"/>
      <c r="C745" s="5"/>
      <c r="D745" s="6"/>
      <c r="E745" s="7"/>
      <c r="Q745" s="7"/>
      <c r="W745" s="7"/>
      <c r="Y745" s="8"/>
    </row>
    <row r="746" spans="1:25" x14ac:dyDescent="0.3">
      <c r="A746" s="3" t="s">
        <v>903</v>
      </c>
      <c r="B746" s="5"/>
      <c r="C746" s="5"/>
      <c r="D746" s="6"/>
      <c r="E746" s="7"/>
      <c r="Q746" s="7"/>
      <c r="W746" s="7"/>
      <c r="Y746" s="8"/>
    </row>
    <row r="747" spans="1:25" x14ac:dyDescent="0.3">
      <c r="A747" s="3" t="s">
        <v>904</v>
      </c>
      <c r="B747" s="5"/>
      <c r="C747" s="5"/>
      <c r="D747" s="6"/>
      <c r="E747" s="7"/>
      <c r="Q747" s="7"/>
      <c r="W747" s="7"/>
      <c r="Y747" s="8"/>
    </row>
    <row r="748" spans="1:25" x14ac:dyDescent="0.3">
      <c r="A748" s="3" t="s">
        <v>905</v>
      </c>
      <c r="B748" s="5"/>
      <c r="C748" s="5"/>
      <c r="D748" s="6"/>
      <c r="E748" s="7"/>
      <c r="Q748" s="7"/>
      <c r="W748" s="7"/>
      <c r="Y748" s="8"/>
    </row>
    <row r="749" spans="1:25" x14ac:dyDescent="0.3">
      <c r="A749" s="3" t="s">
        <v>906</v>
      </c>
      <c r="B749" s="5"/>
      <c r="C749" s="5"/>
      <c r="D749" s="6"/>
      <c r="E749" s="7"/>
      <c r="Q749" s="7"/>
      <c r="W749" s="7"/>
      <c r="Y749" s="8"/>
    </row>
    <row r="750" spans="1:25" x14ac:dyDescent="0.3">
      <c r="A750" s="3" t="s">
        <v>907</v>
      </c>
      <c r="B750" s="5"/>
      <c r="C750" s="5"/>
      <c r="D750" s="6"/>
      <c r="E750" s="7"/>
      <c r="Q750" s="7"/>
      <c r="W750" s="7"/>
      <c r="Y750" s="8"/>
    </row>
    <row r="751" spans="1:25" x14ac:dyDescent="0.3">
      <c r="A751" s="3" t="s">
        <v>908</v>
      </c>
      <c r="B751" s="5"/>
      <c r="C751" s="5"/>
      <c r="D751" s="6"/>
      <c r="E751" s="7"/>
      <c r="Q751" s="7"/>
      <c r="W751" s="7"/>
      <c r="Y751" s="8"/>
    </row>
    <row r="752" spans="1:25" x14ac:dyDescent="0.3">
      <c r="A752" s="3" t="s">
        <v>909</v>
      </c>
      <c r="B752" s="5"/>
      <c r="C752" s="5"/>
      <c r="D752" s="6"/>
      <c r="E752" s="7"/>
      <c r="Q752" s="7"/>
      <c r="W752" s="7"/>
      <c r="Y752" s="8"/>
    </row>
    <row r="753" spans="1:25" x14ac:dyDescent="0.3">
      <c r="A753" s="3" t="s">
        <v>910</v>
      </c>
      <c r="B753" s="5"/>
      <c r="C753" s="5"/>
      <c r="D753" s="6"/>
      <c r="E753" s="7"/>
      <c r="Q753" s="7"/>
      <c r="W753" s="7"/>
      <c r="Y753" s="8"/>
    </row>
    <row r="754" spans="1:25" x14ac:dyDescent="0.3">
      <c r="A754" s="3" t="s">
        <v>911</v>
      </c>
      <c r="B754" s="5"/>
      <c r="C754" s="5"/>
      <c r="D754" s="6"/>
      <c r="E754" s="7"/>
      <c r="Q754" s="7"/>
      <c r="W754" s="7"/>
      <c r="Y754" s="8"/>
    </row>
    <row r="755" spans="1:25" x14ac:dyDescent="0.3">
      <c r="A755" s="3" t="s">
        <v>912</v>
      </c>
      <c r="B755" s="5"/>
      <c r="C755" s="5"/>
      <c r="D755" s="6"/>
      <c r="E755" s="7"/>
      <c r="Q755" s="7"/>
      <c r="W755" s="7"/>
      <c r="Y755" s="8"/>
    </row>
    <row r="756" spans="1:25" x14ac:dyDescent="0.3">
      <c r="A756" s="3" t="s">
        <v>913</v>
      </c>
      <c r="B756" s="5"/>
      <c r="C756" s="5"/>
      <c r="D756" s="6"/>
      <c r="E756" s="7"/>
      <c r="Q756" s="7"/>
      <c r="W756" s="7"/>
      <c r="Y756" s="8"/>
    </row>
    <row r="757" spans="1:25" x14ac:dyDescent="0.3">
      <c r="A757" s="3" t="s">
        <v>914</v>
      </c>
      <c r="B757" s="5"/>
      <c r="C757" s="5"/>
      <c r="D757" s="6"/>
      <c r="E757" s="7"/>
      <c r="Q757" s="7"/>
      <c r="W757" s="7"/>
      <c r="Y757" s="8"/>
    </row>
    <row r="758" spans="1:25" x14ac:dyDescent="0.3">
      <c r="A758" s="3" t="s">
        <v>915</v>
      </c>
      <c r="B758" s="5"/>
      <c r="C758" s="5"/>
      <c r="D758" s="6"/>
      <c r="E758" s="7"/>
      <c r="Q758" s="7"/>
      <c r="W758" s="7"/>
      <c r="Y758" s="8"/>
    </row>
    <row r="759" spans="1:25" x14ac:dyDescent="0.3">
      <c r="A759" s="3" t="s">
        <v>916</v>
      </c>
      <c r="B759" s="5"/>
      <c r="C759" s="5"/>
      <c r="D759" s="6"/>
      <c r="E759" s="7"/>
      <c r="Q759" s="7"/>
      <c r="W759" s="7"/>
      <c r="Y759" s="8"/>
    </row>
    <row r="760" spans="1:25" x14ac:dyDescent="0.3">
      <c r="A760" s="3" t="s">
        <v>917</v>
      </c>
      <c r="B760" s="5"/>
      <c r="C760" s="5"/>
      <c r="D760" s="6"/>
      <c r="E760" s="7"/>
      <c r="Q760" s="7"/>
      <c r="W760" s="7"/>
      <c r="Y760" s="8"/>
    </row>
    <row r="761" spans="1:25" x14ac:dyDescent="0.3">
      <c r="A761" s="3" t="s">
        <v>918</v>
      </c>
      <c r="B761" s="5"/>
      <c r="C761" s="5"/>
      <c r="D761" s="6"/>
      <c r="E761" s="7"/>
      <c r="Q761" s="7"/>
      <c r="W761" s="7"/>
      <c r="Y761" s="8"/>
    </row>
    <row r="762" spans="1:25" x14ac:dyDescent="0.3">
      <c r="A762" s="3" t="s">
        <v>919</v>
      </c>
      <c r="B762" s="5"/>
      <c r="C762" s="5"/>
      <c r="D762" s="6"/>
      <c r="E762" s="7"/>
      <c r="Q762" s="7"/>
      <c r="W762" s="7"/>
      <c r="Y762" s="8"/>
    </row>
    <row r="763" spans="1:25" x14ac:dyDescent="0.3">
      <c r="A763" s="3" t="s">
        <v>920</v>
      </c>
      <c r="B763" s="5"/>
      <c r="C763" s="5"/>
      <c r="D763" s="6"/>
      <c r="E763" s="7"/>
      <c r="Q763" s="7"/>
      <c r="W763" s="7"/>
      <c r="Y763" s="8"/>
    </row>
    <row r="764" spans="1:25" x14ac:dyDescent="0.3">
      <c r="A764" s="3" t="s">
        <v>921</v>
      </c>
      <c r="B764" s="5"/>
      <c r="C764" s="5"/>
      <c r="D764" s="6"/>
      <c r="E764" s="7"/>
      <c r="Q764" s="7"/>
      <c r="W764" s="7"/>
      <c r="Y764" s="8"/>
    </row>
    <row r="765" spans="1:25" x14ac:dyDescent="0.3">
      <c r="A765" s="3" t="s">
        <v>922</v>
      </c>
      <c r="B765" s="5"/>
      <c r="C765" s="5"/>
      <c r="D765" s="6"/>
      <c r="E765" s="7"/>
      <c r="Q765" s="7"/>
      <c r="W765" s="7"/>
      <c r="Y765" s="8"/>
    </row>
    <row r="766" spans="1:25" x14ac:dyDescent="0.3">
      <c r="A766" s="3" t="s">
        <v>923</v>
      </c>
      <c r="B766" s="5"/>
      <c r="C766" s="5"/>
      <c r="D766" s="6"/>
      <c r="E766" s="7"/>
      <c r="Q766" s="7"/>
      <c r="W766" s="7"/>
      <c r="Y766" s="8"/>
    </row>
    <row r="767" spans="1:25" x14ac:dyDescent="0.3">
      <c r="A767" s="3" t="s">
        <v>924</v>
      </c>
      <c r="B767" s="5"/>
      <c r="C767" s="5"/>
      <c r="D767" s="6"/>
      <c r="E767" s="7"/>
      <c r="Q767" s="7"/>
      <c r="W767" s="7"/>
      <c r="Y767" s="8"/>
    </row>
    <row r="768" spans="1:25" x14ac:dyDescent="0.3">
      <c r="A768" s="3" t="s">
        <v>925</v>
      </c>
      <c r="B768" s="5"/>
      <c r="C768" s="5"/>
      <c r="D768" s="6"/>
      <c r="E768" s="7"/>
      <c r="Q768" s="7"/>
      <c r="W768" s="7"/>
      <c r="Y768" s="8"/>
    </row>
    <row r="769" spans="1:25" x14ac:dyDescent="0.3">
      <c r="A769" s="3" t="s">
        <v>926</v>
      </c>
      <c r="B769" s="5"/>
      <c r="C769" s="5"/>
      <c r="D769" s="6"/>
      <c r="E769" s="7"/>
      <c r="Q769" s="7"/>
      <c r="W769" s="7"/>
      <c r="Y769" s="8"/>
    </row>
    <row r="770" spans="1:25" x14ac:dyDescent="0.3">
      <c r="A770" s="3" t="s">
        <v>927</v>
      </c>
      <c r="B770" s="5"/>
      <c r="C770" s="5"/>
      <c r="D770" s="6"/>
      <c r="E770" s="7"/>
      <c r="Q770" s="7"/>
      <c r="W770" s="7"/>
      <c r="Y770" s="8"/>
    </row>
    <row r="771" spans="1:25" x14ac:dyDescent="0.3">
      <c r="A771" s="3" t="s">
        <v>928</v>
      </c>
      <c r="B771" s="5"/>
      <c r="C771" s="5"/>
      <c r="D771" s="6"/>
      <c r="E771" s="7"/>
      <c r="Q771" s="7"/>
      <c r="W771" s="7"/>
      <c r="Y771" s="8"/>
    </row>
    <row r="772" spans="1:25" x14ac:dyDescent="0.3">
      <c r="A772" s="3" t="s">
        <v>929</v>
      </c>
      <c r="B772" s="5"/>
      <c r="C772" s="5"/>
      <c r="D772" s="6"/>
      <c r="E772" s="7"/>
      <c r="Q772" s="7"/>
      <c r="W772" s="7"/>
      <c r="Y772" s="8"/>
    </row>
    <row r="773" spans="1:25" x14ac:dyDescent="0.3">
      <c r="A773" s="3" t="s">
        <v>930</v>
      </c>
      <c r="B773" s="5"/>
      <c r="C773" s="5"/>
      <c r="D773" s="6"/>
      <c r="E773" s="7"/>
      <c r="Q773" s="7"/>
      <c r="W773" s="7"/>
      <c r="Y773" s="8"/>
    </row>
    <row r="774" spans="1:25" x14ac:dyDescent="0.3">
      <c r="A774" s="3" t="s">
        <v>931</v>
      </c>
      <c r="B774" s="5"/>
      <c r="C774" s="5"/>
      <c r="D774" s="6"/>
      <c r="E774" s="7"/>
      <c r="Q774" s="7"/>
      <c r="W774" s="7"/>
      <c r="Y774" s="8"/>
    </row>
    <row r="775" spans="1:25" x14ac:dyDescent="0.3">
      <c r="A775" s="3" t="s">
        <v>932</v>
      </c>
      <c r="B775" s="5"/>
      <c r="C775" s="5"/>
      <c r="D775" s="6"/>
      <c r="E775" s="7"/>
      <c r="Q775" s="7"/>
      <c r="W775" s="7"/>
      <c r="Y775" s="8"/>
    </row>
    <row r="776" spans="1:25" x14ac:dyDescent="0.3">
      <c r="A776" s="3" t="s">
        <v>933</v>
      </c>
      <c r="B776" s="5"/>
      <c r="C776" s="5"/>
      <c r="D776" s="6"/>
      <c r="E776" s="7"/>
      <c r="Q776" s="7"/>
      <c r="W776" s="7"/>
      <c r="Y776" s="8"/>
    </row>
    <row r="777" spans="1:25" x14ac:dyDescent="0.3">
      <c r="A777" s="3" t="s">
        <v>934</v>
      </c>
      <c r="B777" s="5"/>
      <c r="C777" s="5"/>
      <c r="D777" s="6"/>
      <c r="E777" s="7"/>
      <c r="Q777" s="7"/>
      <c r="W777" s="7"/>
      <c r="Y777" s="8"/>
    </row>
    <row r="778" spans="1:25" x14ac:dyDescent="0.3">
      <c r="A778" s="3" t="s">
        <v>935</v>
      </c>
      <c r="B778" s="5"/>
      <c r="C778" s="5"/>
      <c r="D778" s="6"/>
      <c r="E778" s="7"/>
      <c r="Q778" s="7"/>
      <c r="W778" s="7"/>
      <c r="Y778" s="8"/>
    </row>
    <row r="779" spans="1:25" x14ac:dyDescent="0.3">
      <c r="A779" s="3" t="s">
        <v>936</v>
      </c>
      <c r="B779" s="5"/>
      <c r="C779" s="5"/>
      <c r="D779" s="6"/>
      <c r="E779" s="7"/>
      <c r="Q779" s="7"/>
      <c r="W779" s="7"/>
      <c r="Y779" s="8"/>
    </row>
    <row r="780" spans="1:25" x14ac:dyDescent="0.3">
      <c r="A780" s="3" t="s">
        <v>937</v>
      </c>
      <c r="B780" s="5"/>
      <c r="C780" s="5"/>
      <c r="D780" s="6"/>
      <c r="E780" s="7"/>
      <c r="Q780" s="7"/>
      <c r="W780" s="7"/>
      <c r="Y780" s="8"/>
    </row>
    <row r="781" spans="1:25" x14ac:dyDescent="0.3">
      <c r="A781" s="3" t="s">
        <v>938</v>
      </c>
      <c r="B781" s="5"/>
      <c r="C781" s="5"/>
      <c r="D781" s="6"/>
      <c r="E781" s="7"/>
      <c r="Q781" s="7"/>
      <c r="W781" s="7"/>
      <c r="Y781" s="8"/>
    </row>
    <row r="782" spans="1:25" x14ac:dyDescent="0.3">
      <c r="A782" s="3" t="s">
        <v>939</v>
      </c>
      <c r="B782" s="5"/>
      <c r="C782" s="5"/>
      <c r="D782" s="6"/>
      <c r="E782" s="7"/>
      <c r="Q782" s="7"/>
      <c r="W782" s="7"/>
      <c r="Y782" s="8"/>
    </row>
    <row r="783" spans="1:25" x14ac:dyDescent="0.3">
      <c r="A783" s="3" t="s">
        <v>940</v>
      </c>
      <c r="B783" s="5"/>
      <c r="C783" s="5"/>
      <c r="D783" s="6"/>
      <c r="E783" s="7"/>
      <c r="Q783" s="7"/>
      <c r="W783" s="7"/>
      <c r="Y783" s="8"/>
    </row>
    <row r="784" spans="1:25" x14ac:dyDescent="0.3">
      <c r="A784" s="3" t="s">
        <v>941</v>
      </c>
      <c r="B784" s="5"/>
      <c r="C784" s="5"/>
      <c r="D784" s="6"/>
      <c r="E784" s="7"/>
      <c r="Q784" s="7"/>
      <c r="W784" s="7"/>
      <c r="Y784" s="8"/>
    </row>
    <row r="785" spans="1:25" x14ac:dyDescent="0.3">
      <c r="A785" s="3" t="s">
        <v>942</v>
      </c>
      <c r="B785" s="5"/>
      <c r="C785" s="5"/>
      <c r="D785" s="6"/>
      <c r="E785" s="7"/>
      <c r="Q785" s="7"/>
      <c r="W785" s="7"/>
      <c r="Y785" s="8"/>
    </row>
    <row r="786" spans="1:25" x14ac:dyDescent="0.3">
      <c r="A786" s="3" t="s">
        <v>943</v>
      </c>
      <c r="B786" s="5"/>
      <c r="C786" s="5"/>
      <c r="D786" s="6"/>
      <c r="E786" s="7"/>
      <c r="Q786" s="7"/>
      <c r="W786" s="7"/>
      <c r="Y786" s="8"/>
    </row>
    <row r="787" spans="1:25" x14ac:dyDescent="0.3">
      <c r="A787" s="3" t="s">
        <v>944</v>
      </c>
      <c r="B787" s="5"/>
      <c r="C787" s="5"/>
      <c r="D787" s="6"/>
      <c r="E787" s="7"/>
      <c r="Q787" s="7"/>
      <c r="W787" s="7"/>
      <c r="Y787" s="8"/>
    </row>
    <row r="788" spans="1:25" x14ac:dyDescent="0.3">
      <c r="A788" s="3" t="s">
        <v>945</v>
      </c>
      <c r="B788" s="5"/>
      <c r="C788" s="5"/>
      <c r="D788" s="6"/>
      <c r="E788" s="7"/>
      <c r="Q788" s="7"/>
      <c r="W788" s="7"/>
      <c r="Y788" s="8"/>
    </row>
    <row r="789" spans="1:25" x14ac:dyDescent="0.3">
      <c r="A789" s="3" t="s">
        <v>946</v>
      </c>
      <c r="B789" s="5"/>
      <c r="C789" s="5"/>
      <c r="D789" s="6"/>
      <c r="E789" s="7"/>
      <c r="Q789" s="7"/>
      <c r="W789" s="7"/>
      <c r="Y789" s="8"/>
    </row>
    <row r="790" spans="1:25" x14ac:dyDescent="0.3">
      <c r="A790" s="3" t="s">
        <v>947</v>
      </c>
      <c r="B790" s="5"/>
      <c r="C790" s="5"/>
      <c r="D790" s="6"/>
      <c r="E790" s="7"/>
      <c r="Q790" s="7"/>
      <c r="W790" s="7"/>
      <c r="Y790" s="8"/>
    </row>
    <row r="791" spans="1:25" x14ac:dyDescent="0.3">
      <c r="A791" s="3" t="s">
        <v>948</v>
      </c>
      <c r="B791" s="5"/>
      <c r="C791" s="5"/>
      <c r="D791" s="6"/>
      <c r="E791" s="7"/>
      <c r="Q791" s="7"/>
      <c r="W791" s="7"/>
      <c r="Y791" s="8"/>
    </row>
    <row r="792" spans="1:25" x14ac:dyDescent="0.3">
      <c r="A792" s="3" t="s">
        <v>949</v>
      </c>
      <c r="B792" s="5"/>
      <c r="C792" s="5"/>
      <c r="D792" s="6"/>
      <c r="E792" s="7"/>
      <c r="Q792" s="7"/>
      <c r="W792" s="7"/>
      <c r="Y792" s="8"/>
    </row>
    <row r="793" spans="1:25" x14ac:dyDescent="0.3">
      <c r="A793" s="3" t="s">
        <v>950</v>
      </c>
      <c r="B793" s="5"/>
      <c r="C793" s="5"/>
      <c r="D793" s="6"/>
      <c r="E793" s="7"/>
      <c r="Q793" s="7"/>
      <c r="W793" s="7"/>
      <c r="Y793" s="8"/>
    </row>
    <row r="794" spans="1:25" x14ac:dyDescent="0.3">
      <c r="A794" s="3" t="s">
        <v>951</v>
      </c>
      <c r="B794" s="5"/>
      <c r="C794" s="5"/>
      <c r="D794" s="6"/>
      <c r="E794" s="7"/>
      <c r="Q794" s="7"/>
      <c r="W794" s="7"/>
      <c r="Y794" s="8"/>
    </row>
    <row r="795" spans="1:25" x14ac:dyDescent="0.3">
      <c r="A795" s="3" t="s">
        <v>952</v>
      </c>
      <c r="B795" s="5"/>
      <c r="C795" s="5"/>
      <c r="D795" s="6"/>
      <c r="E795" s="7"/>
      <c r="Q795" s="7"/>
      <c r="W795" s="7"/>
      <c r="Y795" s="8"/>
    </row>
    <row r="796" spans="1:25" x14ac:dyDescent="0.3">
      <c r="A796" s="3" t="s">
        <v>953</v>
      </c>
      <c r="B796" s="5"/>
      <c r="C796" s="5"/>
      <c r="D796" s="6"/>
      <c r="E796" s="7"/>
      <c r="Q796" s="7"/>
      <c r="W796" s="7"/>
      <c r="Y796" s="8"/>
    </row>
    <row r="797" spans="1:25" x14ac:dyDescent="0.3">
      <c r="A797" s="3" t="s">
        <v>954</v>
      </c>
      <c r="B797" s="5"/>
      <c r="C797" s="5"/>
      <c r="D797" s="6"/>
      <c r="E797" s="7"/>
      <c r="Q797" s="7"/>
      <c r="W797" s="7"/>
      <c r="Y797" s="8"/>
    </row>
    <row r="798" spans="1:25" x14ac:dyDescent="0.3">
      <c r="A798" s="3" t="s">
        <v>955</v>
      </c>
      <c r="B798" s="5"/>
      <c r="C798" s="5"/>
      <c r="D798" s="6"/>
      <c r="E798" s="7"/>
      <c r="Q798" s="7"/>
      <c r="W798" s="7"/>
      <c r="Y798" s="8"/>
    </row>
    <row r="799" spans="1:25" x14ac:dyDescent="0.3">
      <c r="A799" s="3" t="s">
        <v>956</v>
      </c>
      <c r="B799" s="5"/>
      <c r="C799" s="5"/>
      <c r="D799" s="6"/>
      <c r="E799" s="7"/>
      <c r="Q799" s="7"/>
      <c r="W799" s="7"/>
      <c r="Y799" s="8"/>
    </row>
    <row r="800" spans="1:25" x14ac:dyDescent="0.3">
      <c r="A800" s="3" t="s">
        <v>957</v>
      </c>
      <c r="B800" s="5"/>
      <c r="C800" s="5"/>
      <c r="D800" s="6"/>
      <c r="E800" s="7"/>
      <c r="Q800" s="7"/>
      <c r="W800" s="7"/>
      <c r="Y800" s="8"/>
    </row>
    <row r="801" spans="1:25" x14ac:dyDescent="0.3">
      <c r="A801" s="3" t="s">
        <v>958</v>
      </c>
      <c r="B801" s="5"/>
      <c r="C801" s="5"/>
      <c r="D801" s="6"/>
      <c r="E801" s="7"/>
      <c r="Q801" s="7"/>
      <c r="W801" s="7"/>
      <c r="Y801" s="8"/>
    </row>
    <row r="802" spans="1:25" x14ac:dyDescent="0.3">
      <c r="A802" s="3" t="s">
        <v>959</v>
      </c>
      <c r="B802" s="5"/>
      <c r="C802" s="5"/>
      <c r="D802" s="6"/>
      <c r="E802" s="7"/>
      <c r="Q802" s="7"/>
      <c r="W802" s="7"/>
      <c r="Y802" s="8"/>
    </row>
    <row r="803" spans="1:25" x14ac:dyDescent="0.3">
      <c r="A803" s="3" t="s">
        <v>960</v>
      </c>
      <c r="B803" s="5"/>
      <c r="C803" s="5"/>
      <c r="D803" s="6"/>
      <c r="E803" s="7"/>
      <c r="Q803" s="7"/>
      <c r="W803" s="7"/>
      <c r="Y803" s="8"/>
    </row>
    <row r="804" spans="1:25" x14ac:dyDescent="0.3">
      <c r="A804" s="3" t="s">
        <v>961</v>
      </c>
      <c r="B804" s="5"/>
      <c r="C804" s="5"/>
      <c r="D804" s="6"/>
      <c r="E804" s="7"/>
      <c r="Q804" s="7"/>
      <c r="W804" s="7"/>
      <c r="Y804" s="8"/>
    </row>
    <row r="805" spans="1:25" x14ac:dyDescent="0.3">
      <c r="A805" s="3" t="s">
        <v>962</v>
      </c>
      <c r="B805" s="5"/>
      <c r="C805" s="5"/>
      <c r="D805" s="6"/>
      <c r="E805" s="7"/>
      <c r="Q805" s="7"/>
      <c r="W805" s="7"/>
      <c r="Y805" s="8"/>
    </row>
    <row r="806" spans="1:25" x14ac:dyDescent="0.3">
      <c r="A806" s="3" t="s">
        <v>963</v>
      </c>
      <c r="B806" s="5"/>
      <c r="C806" s="5"/>
      <c r="D806" s="6"/>
      <c r="E806" s="7"/>
      <c r="Q806" s="7"/>
      <c r="W806" s="7"/>
      <c r="Y806" s="8"/>
    </row>
    <row r="807" spans="1:25" x14ac:dyDescent="0.3">
      <c r="A807" s="3" t="s">
        <v>964</v>
      </c>
      <c r="B807" s="5"/>
      <c r="C807" s="5"/>
      <c r="D807" s="6"/>
      <c r="E807" s="7"/>
      <c r="Q807" s="7"/>
      <c r="W807" s="7"/>
      <c r="Y807" s="8"/>
    </row>
    <row r="808" spans="1:25" x14ac:dyDescent="0.3">
      <c r="A808" s="3" t="s">
        <v>965</v>
      </c>
      <c r="B808" s="5"/>
      <c r="C808" s="5"/>
      <c r="D808" s="6"/>
      <c r="E808" s="7"/>
      <c r="Q808" s="7"/>
      <c r="W808" s="7"/>
      <c r="Y808" s="8"/>
    </row>
    <row r="809" spans="1:25" x14ac:dyDescent="0.3">
      <c r="A809" s="3" t="s">
        <v>966</v>
      </c>
      <c r="B809" s="5"/>
      <c r="C809" s="5"/>
      <c r="D809" s="6"/>
      <c r="E809" s="7"/>
      <c r="Q809" s="7"/>
      <c r="W809" s="7"/>
      <c r="Y809" s="8"/>
    </row>
    <row r="810" spans="1:25" x14ac:dyDescent="0.3">
      <c r="A810" s="3" t="s">
        <v>967</v>
      </c>
      <c r="B810" s="5"/>
      <c r="C810" s="5"/>
      <c r="D810" s="6"/>
      <c r="E810" s="7"/>
      <c r="Q810" s="7"/>
      <c r="W810" s="7"/>
      <c r="Y810" s="8"/>
    </row>
    <row r="811" spans="1:25" x14ac:dyDescent="0.3">
      <c r="A811" s="3" t="s">
        <v>968</v>
      </c>
      <c r="B811" s="5"/>
      <c r="C811" s="5"/>
      <c r="D811" s="6"/>
      <c r="E811" s="7"/>
      <c r="Q811" s="7"/>
      <c r="W811" s="7"/>
      <c r="Y811" s="8"/>
    </row>
    <row r="812" spans="1:25" x14ac:dyDescent="0.3">
      <c r="A812" s="3" t="s">
        <v>969</v>
      </c>
      <c r="B812" s="5"/>
      <c r="C812" s="5"/>
      <c r="D812" s="6"/>
      <c r="E812" s="7"/>
      <c r="Q812" s="7"/>
      <c r="W812" s="7"/>
      <c r="Y812" s="8"/>
    </row>
    <row r="813" spans="1:25" x14ac:dyDescent="0.3">
      <c r="A813" s="3" t="s">
        <v>970</v>
      </c>
      <c r="B813" s="5"/>
      <c r="C813" s="5"/>
      <c r="D813" s="6"/>
      <c r="E813" s="7"/>
      <c r="Q813" s="7"/>
      <c r="W813" s="7"/>
      <c r="Y813" s="8"/>
    </row>
    <row r="814" spans="1:25" x14ac:dyDescent="0.3">
      <c r="A814" s="3" t="s">
        <v>971</v>
      </c>
      <c r="B814" s="5"/>
      <c r="C814" s="5"/>
      <c r="D814" s="6"/>
      <c r="E814" s="7"/>
      <c r="Q814" s="7"/>
      <c r="W814" s="7"/>
      <c r="Y814" s="8"/>
    </row>
    <row r="815" spans="1:25" x14ac:dyDescent="0.3">
      <c r="A815" s="3" t="s">
        <v>972</v>
      </c>
      <c r="B815" s="5"/>
      <c r="C815" s="5"/>
      <c r="D815" s="6"/>
      <c r="E815" s="7"/>
      <c r="Q815" s="7"/>
      <c r="W815" s="7"/>
      <c r="Y815" s="8"/>
    </row>
    <row r="816" spans="1:25" x14ac:dyDescent="0.3">
      <c r="A816" s="3" t="s">
        <v>973</v>
      </c>
      <c r="B816" s="5"/>
      <c r="C816" s="5"/>
      <c r="D816" s="6"/>
      <c r="E816" s="7"/>
      <c r="Q816" s="7"/>
      <c r="W816" s="7"/>
      <c r="Y816" s="8"/>
    </row>
    <row r="817" spans="1:25" x14ac:dyDescent="0.3">
      <c r="A817" s="3" t="s">
        <v>974</v>
      </c>
      <c r="B817" s="5"/>
      <c r="C817" s="5"/>
      <c r="D817" s="6"/>
      <c r="E817" s="7"/>
      <c r="Q817" s="7"/>
      <c r="W817" s="7"/>
      <c r="Y817" s="8"/>
    </row>
    <row r="818" spans="1:25" x14ac:dyDescent="0.3">
      <c r="A818" s="3" t="s">
        <v>975</v>
      </c>
      <c r="B818" s="5"/>
      <c r="C818" s="5"/>
      <c r="D818" s="6"/>
      <c r="E818" s="7"/>
      <c r="Q818" s="7"/>
      <c r="W818" s="7"/>
      <c r="Y818" s="8"/>
    </row>
    <row r="819" spans="1:25" x14ac:dyDescent="0.3">
      <c r="A819" s="3" t="s">
        <v>976</v>
      </c>
      <c r="B819" s="5"/>
      <c r="C819" s="5"/>
      <c r="D819" s="6"/>
      <c r="E819" s="7"/>
      <c r="Q819" s="7"/>
      <c r="W819" s="7"/>
      <c r="Y819" s="8"/>
    </row>
    <row r="820" spans="1:25" x14ac:dyDescent="0.3">
      <c r="A820" s="3" t="s">
        <v>977</v>
      </c>
      <c r="B820" s="5"/>
      <c r="C820" s="5"/>
      <c r="D820" s="6"/>
      <c r="E820" s="7"/>
      <c r="Q820" s="7"/>
      <c r="W820" s="7"/>
      <c r="Y820" s="8"/>
    </row>
    <row r="821" spans="1:25" x14ac:dyDescent="0.3">
      <c r="A821" s="3" t="s">
        <v>978</v>
      </c>
      <c r="B821" s="5"/>
      <c r="C821" s="5"/>
      <c r="D821" s="6"/>
      <c r="E821" s="7"/>
      <c r="Q821" s="7"/>
      <c r="W821" s="7"/>
      <c r="Y821" s="8"/>
    </row>
    <row r="822" spans="1:25" x14ac:dyDescent="0.3">
      <c r="A822" s="3" t="s">
        <v>979</v>
      </c>
      <c r="B822" s="5"/>
      <c r="C822" s="5"/>
      <c r="D822" s="6"/>
      <c r="E822" s="7"/>
      <c r="Q822" s="7"/>
      <c r="W822" s="7"/>
      <c r="Y822" s="8"/>
    </row>
    <row r="823" spans="1:25" x14ac:dyDescent="0.3">
      <c r="A823" s="3" t="s">
        <v>980</v>
      </c>
      <c r="B823" s="5"/>
      <c r="C823" s="5"/>
      <c r="D823" s="6"/>
      <c r="E823" s="7"/>
      <c r="Q823" s="7"/>
      <c r="W823" s="7"/>
      <c r="Y823" s="8"/>
    </row>
    <row r="824" spans="1:25" x14ac:dyDescent="0.3">
      <c r="A824" s="3" t="s">
        <v>981</v>
      </c>
      <c r="B824" s="5"/>
      <c r="C824" s="5"/>
      <c r="D824" s="6"/>
      <c r="E824" s="7"/>
      <c r="Q824" s="7"/>
      <c r="W824" s="7"/>
      <c r="Y824" s="8"/>
    </row>
    <row r="825" spans="1:25" x14ac:dyDescent="0.3">
      <c r="A825" s="3" t="s">
        <v>982</v>
      </c>
      <c r="B825" s="5"/>
      <c r="C825" s="5"/>
      <c r="D825" s="6"/>
      <c r="E825" s="7"/>
      <c r="Q825" s="7"/>
      <c r="W825" s="7"/>
      <c r="Y825" s="8"/>
    </row>
    <row r="826" spans="1:25" x14ac:dyDescent="0.3">
      <c r="A826" s="3" t="s">
        <v>983</v>
      </c>
      <c r="B826" s="5"/>
      <c r="C826" s="5"/>
      <c r="D826" s="6"/>
      <c r="E826" s="7"/>
      <c r="Q826" s="7"/>
      <c r="W826" s="7"/>
      <c r="Y826" s="8"/>
    </row>
    <row r="827" spans="1:25" x14ac:dyDescent="0.3">
      <c r="A827" s="3" t="s">
        <v>984</v>
      </c>
      <c r="B827" s="5"/>
      <c r="C827" s="5"/>
      <c r="D827" s="6"/>
      <c r="E827" s="7"/>
      <c r="Q827" s="7"/>
      <c r="W827" s="7"/>
      <c r="Y827" s="8"/>
    </row>
    <row r="828" spans="1:25" x14ac:dyDescent="0.3">
      <c r="A828" s="3" t="s">
        <v>985</v>
      </c>
      <c r="B828" s="5"/>
      <c r="C828" s="5"/>
      <c r="D828" s="6"/>
      <c r="E828" s="7"/>
      <c r="Q828" s="7"/>
      <c r="W828" s="7"/>
      <c r="Y828" s="8"/>
    </row>
    <row r="829" spans="1:25" x14ac:dyDescent="0.3">
      <c r="A829" s="3" t="s">
        <v>986</v>
      </c>
      <c r="B829" s="5"/>
      <c r="C829" s="5"/>
      <c r="D829" s="6"/>
      <c r="E829" s="7"/>
      <c r="Q829" s="7"/>
      <c r="W829" s="7"/>
      <c r="Y829" s="8"/>
    </row>
    <row r="830" spans="1:25" x14ac:dyDescent="0.3">
      <c r="A830" s="3" t="s">
        <v>987</v>
      </c>
      <c r="B830" s="5"/>
      <c r="C830" s="5"/>
      <c r="D830" s="6"/>
      <c r="E830" s="7"/>
      <c r="Q830" s="7"/>
      <c r="W830" s="7"/>
      <c r="Y830" s="8"/>
    </row>
    <row r="831" spans="1:25" x14ac:dyDescent="0.3">
      <c r="A831" s="3" t="s">
        <v>988</v>
      </c>
      <c r="B831" s="5"/>
      <c r="C831" s="5"/>
      <c r="D831" s="6"/>
      <c r="E831" s="7"/>
      <c r="Q831" s="7"/>
      <c r="W831" s="7"/>
      <c r="Y831" s="8"/>
    </row>
    <row r="832" spans="1:25" x14ac:dyDescent="0.3">
      <c r="A832" s="3" t="s">
        <v>989</v>
      </c>
      <c r="B832" s="5"/>
      <c r="C832" s="5"/>
      <c r="D832" s="6"/>
      <c r="E832" s="7"/>
      <c r="Q832" s="7"/>
      <c r="W832" s="7"/>
      <c r="Y832" s="8"/>
    </row>
    <row r="833" spans="1:25" x14ac:dyDescent="0.3">
      <c r="A833" s="3" t="s">
        <v>990</v>
      </c>
      <c r="B833" s="5"/>
      <c r="C833" s="5"/>
      <c r="D833" s="6"/>
      <c r="E833" s="7"/>
      <c r="Q833" s="7"/>
      <c r="W833" s="7"/>
      <c r="Y833" s="8"/>
    </row>
    <row r="834" spans="1:25" x14ac:dyDescent="0.3">
      <c r="A834" s="3" t="s">
        <v>991</v>
      </c>
      <c r="B834" s="5"/>
      <c r="C834" s="5"/>
      <c r="D834" s="6"/>
      <c r="E834" s="7"/>
      <c r="Q834" s="7"/>
      <c r="W834" s="7"/>
      <c r="Y834" s="8"/>
    </row>
    <row r="835" spans="1:25" x14ac:dyDescent="0.3">
      <c r="A835" s="3" t="s">
        <v>992</v>
      </c>
      <c r="B835" s="5"/>
      <c r="C835" s="5"/>
      <c r="D835" s="6"/>
      <c r="E835" s="7"/>
      <c r="Q835" s="7"/>
      <c r="W835" s="7"/>
      <c r="Y835" s="8"/>
    </row>
    <row r="836" spans="1:25" x14ac:dyDescent="0.3">
      <c r="A836" s="3" t="s">
        <v>993</v>
      </c>
      <c r="B836" s="5"/>
      <c r="C836" s="5"/>
      <c r="D836" s="6"/>
      <c r="E836" s="7"/>
      <c r="Q836" s="7"/>
      <c r="W836" s="7"/>
      <c r="Y836" s="8"/>
    </row>
    <row r="837" spans="1:25" x14ac:dyDescent="0.3">
      <c r="A837" s="3" t="s">
        <v>994</v>
      </c>
      <c r="B837" s="5"/>
      <c r="C837" s="5"/>
      <c r="D837" s="6"/>
      <c r="E837" s="7"/>
      <c r="Q837" s="7"/>
      <c r="W837" s="7"/>
      <c r="Y837" s="8"/>
    </row>
    <row r="838" spans="1:25" x14ac:dyDescent="0.3">
      <c r="A838" s="3" t="s">
        <v>995</v>
      </c>
      <c r="B838" s="5"/>
      <c r="C838" s="5"/>
      <c r="D838" s="6"/>
      <c r="E838" s="7"/>
      <c r="Q838" s="7"/>
      <c r="W838" s="7"/>
      <c r="Y838" s="8"/>
    </row>
    <row r="839" spans="1:25" x14ac:dyDescent="0.3">
      <c r="A839" s="3" t="s">
        <v>996</v>
      </c>
      <c r="B839" s="5"/>
      <c r="C839" s="5"/>
      <c r="D839" s="6"/>
      <c r="E839" s="7"/>
      <c r="Q839" s="7"/>
      <c r="W839" s="7"/>
      <c r="Y839" s="8"/>
    </row>
    <row r="840" spans="1:25" x14ac:dyDescent="0.3">
      <c r="A840" s="3" t="s">
        <v>997</v>
      </c>
      <c r="B840" s="5"/>
      <c r="C840" s="5"/>
      <c r="D840" s="6"/>
      <c r="E840" s="7"/>
      <c r="Q840" s="7"/>
      <c r="W840" s="7"/>
      <c r="Y840" s="8"/>
    </row>
    <row r="841" spans="1:25" x14ac:dyDescent="0.3">
      <c r="A841" s="3" t="s">
        <v>998</v>
      </c>
      <c r="B841" s="5"/>
      <c r="C841" s="5"/>
      <c r="D841" s="6"/>
      <c r="E841" s="7"/>
      <c r="Q841" s="7"/>
      <c r="W841" s="7"/>
      <c r="Y841" s="8"/>
    </row>
    <row r="842" spans="1:25" x14ac:dyDescent="0.3">
      <c r="A842" s="3" t="s">
        <v>999</v>
      </c>
      <c r="B842" s="5"/>
      <c r="C842" s="5"/>
      <c r="D842" s="6"/>
      <c r="E842" s="7"/>
      <c r="Q842" s="7"/>
      <c r="W842" s="7"/>
      <c r="Y842" s="8"/>
    </row>
    <row r="843" spans="1:25" x14ac:dyDescent="0.3">
      <c r="A843" s="3" t="s">
        <v>1000</v>
      </c>
      <c r="B843" s="5"/>
      <c r="C843" s="5"/>
      <c r="D843" s="6"/>
      <c r="E843" s="7"/>
      <c r="Q843" s="7"/>
      <c r="W843" s="7"/>
      <c r="Y843" s="8"/>
    </row>
    <row r="844" spans="1:25" x14ac:dyDescent="0.3">
      <c r="A844" s="3" t="s">
        <v>1001</v>
      </c>
      <c r="B844" s="5"/>
      <c r="C844" s="5"/>
      <c r="D844" s="6"/>
      <c r="E844" s="7"/>
      <c r="Q844" s="7"/>
      <c r="W844" s="7"/>
      <c r="Y844" s="8"/>
    </row>
    <row r="845" spans="1:25" x14ac:dyDescent="0.3">
      <c r="A845" s="3" t="s">
        <v>1002</v>
      </c>
      <c r="B845" s="5"/>
      <c r="C845" s="5"/>
      <c r="D845" s="6"/>
      <c r="E845" s="7"/>
      <c r="Q845" s="7"/>
      <c r="W845" s="7"/>
      <c r="Y845" s="8"/>
    </row>
    <row r="846" spans="1:25" x14ac:dyDescent="0.3">
      <c r="A846" s="3" t="s">
        <v>1003</v>
      </c>
      <c r="B846" s="5"/>
      <c r="C846" s="5"/>
      <c r="D846" s="6"/>
      <c r="E846" s="7"/>
      <c r="Q846" s="7"/>
      <c r="W846" s="7"/>
      <c r="Y846" s="8"/>
    </row>
    <row r="847" spans="1:25" x14ac:dyDescent="0.3">
      <c r="A847" s="3" t="s">
        <v>1004</v>
      </c>
      <c r="B847" s="5"/>
      <c r="C847" s="5"/>
      <c r="D847" s="6"/>
      <c r="E847" s="7"/>
      <c r="Q847" s="7"/>
      <c r="W847" s="7"/>
      <c r="Y847" s="8"/>
    </row>
    <row r="848" spans="1:25" x14ac:dyDescent="0.3">
      <c r="A848" s="3" t="s">
        <v>1005</v>
      </c>
      <c r="B848" s="5"/>
      <c r="C848" s="5"/>
      <c r="D848" s="6"/>
      <c r="E848" s="7"/>
      <c r="Q848" s="7"/>
      <c r="W848" s="7"/>
      <c r="Y848" s="8"/>
    </row>
    <row r="849" spans="1:25" x14ac:dyDescent="0.3">
      <c r="A849" s="3" t="s">
        <v>1006</v>
      </c>
      <c r="B849" s="5"/>
      <c r="C849" s="5"/>
      <c r="D849" s="6"/>
      <c r="E849" s="7"/>
      <c r="Q849" s="7"/>
      <c r="W849" s="7"/>
      <c r="Y849" s="8"/>
    </row>
    <row r="850" spans="1:25" x14ac:dyDescent="0.3">
      <c r="A850" s="3" t="s">
        <v>1007</v>
      </c>
      <c r="B850" s="5"/>
      <c r="C850" s="5"/>
      <c r="D850" s="6"/>
      <c r="E850" s="7"/>
      <c r="Q850" s="7"/>
      <c r="W850" s="7"/>
      <c r="Y850" s="8"/>
    </row>
    <row r="851" spans="1:25" x14ac:dyDescent="0.3">
      <c r="A851" s="3" t="s">
        <v>1008</v>
      </c>
      <c r="B851" s="5"/>
      <c r="C851" s="5"/>
      <c r="D851" s="6"/>
      <c r="E851" s="7"/>
      <c r="Q851" s="7"/>
      <c r="W851" s="7"/>
      <c r="Y851" s="8"/>
    </row>
    <row r="852" spans="1:25" x14ac:dyDescent="0.3">
      <c r="A852" s="3" t="s">
        <v>1009</v>
      </c>
      <c r="B852" s="5"/>
      <c r="C852" s="5"/>
      <c r="D852" s="6"/>
      <c r="E852" s="7"/>
      <c r="Q852" s="7"/>
      <c r="W852" s="7"/>
      <c r="Y852" s="8"/>
    </row>
    <row r="853" spans="1:25" x14ac:dyDescent="0.3">
      <c r="A853" s="3" t="s">
        <v>1010</v>
      </c>
      <c r="B853" s="5"/>
      <c r="C853" s="5"/>
      <c r="D853" s="6"/>
      <c r="E853" s="7"/>
      <c r="Q853" s="7"/>
      <c r="W853" s="7"/>
      <c r="Y853" s="8"/>
    </row>
    <row r="854" spans="1:25" x14ac:dyDescent="0.3">
      <c r="A854" s="3" t="s">
        <v>1011</v>
      </c>
      <c r="B854" s="5"/>
      <c r="C854" s="5"/>
      <c r="D854" s="6"/>
      <c r="E854" s="7"/>
      <c r="Q854" s="7"/>
      <c r="W854" s="7"/>
      <c r="Y854" s="8"/>
    </row>
    <row r="855" spans="1:25" x14ac:dyDescent="0.3">
      <c r="A855" s="3" t="s">
        <v>1012</v>
      </c>
      <c r="B855" s="5"/>
      <c r="C855" s="5"/>
      <c r="D855" s="6"/>
      <c r="E855" s="7"/>
      <c r="Q855" s="7"/>
      <c r="W855" s="7"/>
      <c r="Y855" s="8"/>
    </row>
    <row r="856" spans="1:25" x14ac:dyDescent="0.3">
      <c r="A856" s="3" t="s">
        <v>1013</v>
      </c>
      <c r="B856" s="5"/>
      <c r="C856" s="5"/>
      <c r="D856" s="6"/>
      <c r="E856" s="7"/>
      <c r="Q856" s="7"/>
      <c r="W856" s="7"/>
      <c r="Y856" s="8"/>
    </row>
    <row r="857" spans="1:25" x14ac:dyDescent="0.3">
      <c r="A857" s="3" t="s">
        <v>1014</v>
      </c>
      <c r="B857" s="5"/>
      <c r="C857" s="5"/>
      <c r="D857" s="6"/>
      <c r="E857" s="7"/>
      <c r="Q857" s="7"/>
      <c r="W857" s="7"/>
      <c r="Y857" s="8"/>
    </row>
    <row r="858" spans="1:25" x14ac:dyDescent="0.3">
      <c r="A858" s="3" t="s">
        <v>1015</v>
      </c>
      <c r="B858" s="5"/>
      <c r="C858" s="5"/>
      <c r="D858" s="6"/>
      <c r="E858" s="7"/>
      <c r="Q858" s="7"/>
      <c r="W858" s="7"/>
      <c r="Y858" s="8"/>
    </row>
    <row r="859" spans="1:25" x14ac:dyDescent="0.3">
      <c r="A859" s="3" t="s">
        <v>1016</v>
      </c>
      <c r="B859" s="5"/>
      <c r="C859" s="5"/>
      <c r="D859" s="6"/>
      <c r="E859" s="7"/>
      <c r="Q859" s="7"/>
      <c r="W859" s="7"/>
      <c r="Y859" s="8"/>
    </row>
    <row r="860" spans="1:25" x14ac:dyDescent="0.3">
      <c r="A860" s="3" t="s">
        <v>1017</v>
      </c>
      <c r="B860" s="5"/>
      <c r="C860" s="5"/>
      <c r="D860" s="6"/>
      <c r="E860" s="7"/>
      <c r="Q860" s="7"/>
      <c r="W860" s="7"/>
      <c r="Y860" s="8"/>
    </row>
    <row r="861" spans="1:25" x14ac:dyDescent="0.3">
      <c r="A861" s="3" t="s">
        <v>1018</v>
      </c>
      <c r="B861" s="5"/>
      <c r="C861" s="5"/>
      <c r="D861" s="6"/>
      <c r="E861" s="7"/>
      <c r="Q861" s="7"/>
      <c r="W861" s="7"/>
      <c r="Y861" s="8"/>
    </row>
    <row r="862" spans="1:25" x14ac:dyDescent="0.3">
      <c r="A862" s="3" t="s">
        <v>1019</v>
      </c>
      <c r="B862" s="5"/>
      <c r="C862" s="5"/>
      <c r="D862" s="6"/>
      <c r="E862" s="7"/>
      <c r="Q862" s="7"/>
      <c r="W862" s="7"/>
      <c r="Y862" s="8"/>
    </row>
    <row r="863" spans="1:25" x14ac:dyDescent="0.3">
      <c r="A863" s="3" t="s">
        <v>1020</v>
      </c>
      <c r="B863" s="5"/>
      <c r="C863" s="5"/>
      <c r="D863" s="6"/>
      <c r="E863" s="7"/>
      <c r="Q863" s="7"/>
      <c r="W863" s="7"/>
      <c r="Y863" s="8"/>
    </row>
    <row r="864" spans="1:25" x14ac:dyDescent="0.3">
      <c r="A864" s="3" t="s">
        <v>1021</v>
      </c>
      <c r="B864" s="5"/>
      <c r="C864" s="5"/>
      <c r="D864" s="6"/>
      <c r="E864" s="7"/>
      <c r="Q864" s="7"/>
      <c r="W864" s="7"/>
      <c r="Y864" s="8"/>
    </row>
    <row r="865" spans="1:25" x14ac:dyDescent="0.3">
      <c r="A865" s="3" t="s">
        <v>1022</v>
      </c>
      <c r="B865" s="5"/>
      <c r="C865" s="5"/>
      <c r="D865" s="6"/>
      <c r="E865" s="7"/>
      <c r="Q865" s="7"/>
      <c r="W865" s="7"/>
      <c r="Y865" s="8"/>
    </row>
    <row r="866" spans="1:25" x14ac:dyDescent="0.3">
      <c r="A866" s="3" t="s">
        <v>1023</v>
      </c>
      <c r="B866" s="5"/>
      <c r="C866" s="5"/>
      <c r="D866" s="6"/>
      <c r="E866" s="7"/>
      <c r="Q866" s="7"/>
      <c r="W866" s="7"/>
      <c r="Y866" s="8"/>
    </row>
    <row r="867" spans="1:25" x14ac:dyDescent="0.3">
      <c r="A867" s="3" t="s">
        <v>1024</v>
      </c>
      <c r="B867" s="5"/>
      <c r="C867" s="5"/>
      <c r="D867" s="6"/>
      <c r="E867" s="7"/>
      <c r="Q867" s="7"/>
      <c r="W867" s="7"/>
      <c r="Y867" s="8"/>
    </row>
    <row r="868" spans="1:25" x14ac:dyDescent="0.3">
      <c r="A868" s="3" t="s">
        <v>1025</v>
      </c>
      <c r="B868" s="5"/>
      <c r="C868" s="5"/>
      <c r="D868" s="6"/>
      <c r="E868" s="7"/>
      <c r="Q868" s="7"/>
      <c r="W868" s="7"/>
      <c r="Y868" s="8"/>
    </row>
    <row r="869" spans="1:25" x14ac:dyDescent="0.3">
      <c r="A869" s="3" t="s">
        <v>1026</v>
      </c>
      <c r="B869" s="5"/>
      <c r="C869" s="5"/>
      <c r="D869" s="6"/>
      <c r="E869" s="7"/>
      <c r="Q869" s="7"/>
      <c r="W869" s="7"/>
      <c r="Y869" s="8"/>
    </row>
    <row r="870" spans="1:25" x14ac:dyDescent="0.3">
      <c r="A870" s="3" t="s">
        <v>1027</v>
      </c>
      <c r="B870" s="5"/>
      <c r="C870" s="5"/>
      <c r="D870" s="6"/>
      <c r="E870" s="7"/>
      <c r="Q870" s="7"/>
      <c r="W870" s="7"/>
      <c r="Y870" s="8"/>
    </row>
    <row r="871" spans="1:25" x14ac:dyDescent="0.3">
      <c r="A871" s="3" t="s">
        <v>1028</v>
      </c>
      <c r="B871" s="5"/>
      <c r="C871" s="5"/>
      <c r="D871" s="6"/>
      <c r="E871" s="7"/>
      <c r="Q871" s="7"/>
      <c r="W871" s="7"/>
      <c r="Y871" s="8"/>
    </row>
    <row r="872" spans="1:25" x14ac:dyDescent="0.3">
      <c r="A872" s="3" t="s">
        <v>1029</v>
      </c>
      <c r="B872" s="5"/>
      <c r="C872" s="5"/>
      <c r="D872" s="6"/>
      <c r="E872" s="7"/>
      <c r="Q872" s="7"/>
      <c r="W872" s="7"/>
      <c r="Y872" s="8"/>
    </row>
    <row r="873" spans="1:25" x14ac:dyDescent="0.3">
      <c r="A873" s="3" t="s">
        <v>1030</v>
      </c>
      <c r="B873" s="5"/>
      <c r="C873" s="5"/>
      <c r="D873" s="6"/>
      <c r="E873" s="7"/>
      <c r="Q873" s="7"/>
      <c r="W873" s="7"/>
      <c r="Y873" s="8"/>
    </row>
    <row r="874" spans="1:25" x14ac:dyDescent="0.3">
      <c r="A874" s="3" t="s">
        <v>1031</v>
      </c>
      <c r="B874" s="5"/>
      <c r="C874" s="5"/>
      <c r="D874" s="6"/>
      <c r="E874" s="7"/>
      <c r="Q874" s="7"/>
      <c r="W874" s="7"/>
      <c r="Y874" s="8"/>
    </row>
    <row r="875" spans="1:25" x14ac:dyDescent="0.3">
      <c r="A875" s="3" t="s">
        <v>1032</v>
      </c>
      <c r="B875" s="5"/>
      <c r="C875" s="5"/>
      <c r="D875" s="6"/>
      <c r="E875" s="7"/>
      <c r="Q875" s="7"/>
      <c r="W875" s="7"/>
      <c r="Y875" s="8"/>
    </row>
    <row r="876" spans="1:25" x14ac:dyDescent="0.3">
      <c r="A876" s="3" t="s">
        <v>1033</v>
      </c>
      <c r="B876" s="5"/>
      <c r="C876" s="5"/>
      <c r="D876" s="6"/>
      <c r="E876" s="7"/>
      <c r="Q876" s="7"/>
      <c r="W876" s="7"/>
      <c r="Y876" s="8"/>
    </row>
    <row r="877" spans="1:25" x14ac:dyDescent="0.3">
      <c r="A877" s="3" t="s">
        <v>1034</v>
      </c>
      <c r="B877" s="5"/>
      <c r="C877" s="5"/>
      <c r="D877" s="6"/>
      <c r="E877" s="7"/>
      <c r="Q877" s="7"/>
      <c r="W877" s="7"/>
      <c r="Y877" s="8"/>
    </row>
    <row r="878" spans="1:25" x14ac:dyDescent="0.3">
      <c r="A878" s="3" t="s">
        <v>1035</v>
      </c>
      <c r="B878" s="5"/>
      <c r="C878" s="5"/>
      <c r="D878" s="6"/>
      <c r="E878" s="7"/>
      <c r="Q878" s="7"/>
      <c r="W878" s="7"/>
      <c r="Y878" s="8"/>
    </row>
    <row r="879" spans="1:25" x14ac:dyDescent="0.3">
      <c r="A879" s="3" t="s">
        <v>1036</v>
      </c>
      <c r="B879" s="5"/>
      <c r="C879" s="5"/>
      <c r="D879" s="6"/>
      <c r="E879" s="7"/>
      <c r="Q879" s="7"/>
      <c r="W879" s="7"/>
      <c r="Y879" s="8"/>
    </row>
    <row r="880" spans="1:25" x14ac:dyDescent="0.3">
      <c r="A880" s="3" t="s">
        <v>1037</v>
      </c>
      <c r="B880" s="5"/>
      <c r="C880" s="5"/>
      <c r="D880" s="6"/>
      <c r="E880" s="7"/>
      <c r="Q880" s="7"/>
      <c r="W880" s="7"/>
      <c r="Y880" s="8"/>
    </row>
    <row r="881" spans="1:25" x14ac:dyDescent="0.3">
      <c r="A881" s="3" t="s">
        <v>1038</v>
      </c>
      <c r="B881" s="5"/>
      <c r="C881" s="5"/>
      <c r="D881" s="6"/>
      <c r="E881" s="7"/>
      <c r="Q881" s="7"/>
      <c r="W881" s="7"/>
      <c r="Y881" s="8"/>
    </row>
    <row r="882" spans="1:25" x14ac:dyDescent="0.3">
      <c r="A882" s="3" t="s">
        <v>1039</v>
      </c>
      <c r="B882" s="5"/>
      <c r="C882" s="5"/>
      <c r="D882" s="6"/>
      <c r="E882" s="7"/>
      <c r="Q882" s="7"/>
      <c r="W882" s="7"/>
      <c r="Y882" s="8"/>
    </row>
    <row r="883" spans="1:25" x14ac:dyDescent="0.3">
      <c r="A883" s="3" t="s">
        <v>1040</v>
      </c>
      <c r="B883" s="5"/>
      <c r="C883" s="5"/>
      <c r="D883" s="6"/>
      <c r="E883" s="7"/>
      <c r="Q883" s="7"/>
      <c r="W883" s="7"/>
      <c r="Y883" s="8"/>
    </row>
    <row r="884" spans="1:25" x14ac:dyDescent="0.3">
      <c r="A884" s="3" t="s">
        <v>1041</v>
      </c>
      <c r="B884" s="5"/>
      <c r="C884" s="5"/>
      <c r="D884" s="6"/>
      <c r="E884" s="7"/>
      <c r="Q884" s="7"/>
      <c r="W884" s="7"/>
      <c r="Y884" s="8"/>
    </row>
    <row r="885" spans="1:25" x14ac:dyDescent="0.3">
      <c r="A885" s="3" t="s">
        <v>1042</v>
      </c>
      <c r="B885" s="5"/>
      <c r="C885" s="5"/>
      <c r="D885" s="6"/>
      <c r="E885" s="7"/>
      <c r="Q885" s="7"/>
      <c r="W885" s="7"/>
      <c r="Y885" s="8"/>
    </row>
    <row r="886" spans="1:25" x14ac:dyDescent="0.3">
      <c r="A886" s="3" t="s">
        <v>1043</v>
      </c>
      <c r="B886" s="5"/>
      <c r="C886" s="5"/>
      <c r="D886" s="6"/>
      <c r="E886" s="7"/>
      <c r="Q886" s="7"/>
      <c r="W886" s="7"/>
      <c r="Y886" s="8"/>
    </row>
    <row r="887" spans="1:25" x14ac:dyDescent="0.3">
      <c r="A887" s="3" t="s">
        <v>1044</v>
      </c>
      <c r="B887" s="5"/>
      <c r="C887" s="5"/>
      <c r="D887" s="6"/>
      <c r="E887" s="7"/>
      <c r="Q887" s="7"/>
      <c r="W887" s="7"/>
      <c r="Y887" s="8"/>
    </row>
    <row r="888" spans="1:25" x14ac:dyDescent="0.3">
      <c r="A888" s="3" t="s">
        <v>1045</v>
      </c>
      <c r="B888" s="5"/>
      <c r="C888" s="5"/>
      <c r="D888" s="6"/>
      <c r="E888" s="7"/>
      <c r="Q888" s="7"/>
      <c r="W888" s="7"/>
      <c r="Y888" s="8"/>
    </row>
    <row r="889" spans="1:25" x14ac:dyDescent="0.3">
      <c r="A889" s="3" t="s">
        <v>1046</v>
      </c>
      <c r="B889" s="5"/>
      <c r="C889" s="5"/>
      <c r="D889" s="6"/>
      <c r="E889" s="7"/>
      <c r="Q889" s="7"/>
      <c r="W889" s="7"/>
      <c r="Y889" s="8"/>
    </row>
    <row r="890" spans="1:25" x14ac:dyDescent="0.3">
      <c r="A890" s="3" t="s">
        <v>1047</v>
      </c>
      <c r="B890" s="5"/>
      <c r="C890" s="5"/>
      <c r="D890" s="6"/>
      <c r="E890" s="7"/>
      <c r="Q890" s="7"/>
      <c r="W890" s="7"/>
      <c r="Y890" s="8"/>
    </row>
    <row r="891" spans="1:25" x14ac:dyDescent="0.3">
      <c r="A891" s="3" t="s">
        <v>1048</v>
      </c>
      <c r="B891" s="5"/>
      <c r="C891" s="5"/>
      <c r="D891" s="6"/>
      <c r="E891" s="7"/>
      <c r="Q891" s="7"/>
      <c r="W891" s="7"/>
      <c r="Y891" s="8"/>
    </row>
    <row r="892" spans="1:25" x14ac:dyDescent="0.3">
      <c r="A892" s="3" t="s">
        <v>1049</v>
      </c>
      <c r="B892" s="5"/>
      <c r="C892" s="5"/>
      <c r="D892" s="6"/>
      <c r="E892" s="7"/>
      <c r="Q892" s="7"/>
      <c r="W892" s="7"/>
      <c r="Y892" s="8"/>
    </row>
    <row r="893" spans="1:25" x14ac:dyDescent="0.3">
      <c r="A893" s="3" t="s">
        <v>1050</v>
      </c>
      <c r="B893" s="5"/>
      <c r="C893" s="5"/>
      <c r="D893" s="6"/>
      <c r="E893" s="7"/>
      <c r="Q893" s="7"/>
      <c r="W893" s="7"/>
      <c r="Y893" s="8"/>
    </row>
    <row r="894" spans="1:25" x14ac:dyDescent="0.3">
      <c r="A894" s="3" t="s">
        <v>1051</v>
      </c>
      <c r="B894" s="5"/>
      <c r="C894" s="5"/>
      <c r="D894" s="6"/>
      <c r="E894" s="7"/>
      <c r="Q894" s="7"/>
      <c r="W894" s="7"/>
      <c r="Y894" s="8"/>
    </row>
    <row r="895" spans="1:25" x14ac:dyDescent="0.3">
      <c r="A895" s="3" t="s">
        <v>1052</v>
      </c>
      <c r="B895" s="5"/>
      <c r="C895" s="5"/>
      <c r="D895" s="6"/>
      <c r="E895" s="7"/>
      <c r="Q895" s="7"/>
      <c r="W895" s="7"/>
      <c r="Y895" s="8"/>
    </row>
    <row r="896" spans="1:25" x14ac:dyDescent="0.3">
      <c r="A896" s="3" t="s">
        <v>1053</v>
      </c>
      <c r="B896" s="5"/>
      <c r="C896" s="5"/>
      <c r="D896" s="6"/>
      <c r="E896" s="7"/>
      <c r="Q896" s="7"/>
      <c r="W896" s="7"/>
      <c r="Y896" s="8"/>
    </row>
    <row r="897" spans="1:25" x14ac:dyDescent="0.3">
      <c r="A897" s="3" t="s">
        <v>1054</v>
      </c>
      <c r="B897" s="5"/>
      <c r="C897" s="5"/>
      <c r="D897" s="6"/>
      <c r="E897" s="7"/>
      <c r="Q897" s="7"/>
      <c r="W897" s="7"/>
      <c r="Y897" s="8"/>
    </row>
    <row r="898" spans="1:25" x14ac:dyDescent="0.3">
      <c r="A898" s="3" t="s">
        <v>1055</v>
      </c>
      <c r="B898" s="5"/>
      <c r="C898" s="5"/>
      <c r="D898" s="6"/>
      <c r="E898" s="7"/>
      <c r="Q898" s="7"/>
      <c r="W898" s="7"/>
      <c r="Y898" s="8"/>
    </row>
    <row r="899" spans="1:25" x14ac:dyDescent="0.3">
      <c r="A899" s="3" t="s">
        <v>1056</v>
      </c>
      <c r="B899" s="5"/>
      <c r="C899" s="5"/>
      <c r="D899" s="6"/>
      <c r="E899" s="7"/>
      <c r="Q899" s="7"/>
      <c r="W899" s="7"/>
      <c r="Y899" s="8"/>
    </row>
    <row r="900" spans="1:25" x14ac:dyDescent="0.3">
      <c r="A900" s="3" t="s">
        <v>1057</v>
      </c>
      <c r="B900" s="5"/>
      <c r="C900" s="5"/>
      <c r="D900" s="6"/>
      <c r="E900" s="7"/>
      <c r="Q900" s="7"/>
      <c r="W900" s="7"/>
      <c r="Y900" s="8"/>
    </row>
    <row r="901" spans="1:25" x14ac:dyDescent="0.3">
      <c r="A901" s="3" t="s">
        <v>1058</v>
      </c>
      <c r="B901" s="5"/>
      <c r="C901" s="5"/>
      <c r="D901" s="6"/>
      <c r="E901" s="7"/>
      <c r="Q901" s="7"/>
      <c r="W901" s="7"/>
      <c r="Y901" s="8"/>
    </row>
    <row r="902" spans="1:25" x14ac:dyDescent="0.3">
      <c r="A902" s="3" t="s">
        <v>1059</v>
      </c>
      <c r="B902" s="5"/>
      <c r="C902" s="5"/>
      <c r="D902" s="6"/>
      <c r="E902" s="7"/>
      <c r="Q902" s="7"/>
      <c r="W902" s="7"/>
      <c r="Y902" s="8"/>
    </row>
    <row r="903" spans="1:25" x14ac:dyDescent="0.3">
      <c r="A903" s="3" t="s">
        <v>1060</v>
      </c>
      <c r="B903" s="5"/>
      <c r="C903" s="5"/>
      <c r="D903" s="6"/>
      <c r="E903" s="7"/>
      <c r="Q903" s="7"/>
      <c r="W903" s="7"/>
      <c r="Y903" s="8"/>
    </row>
    <row r="904" spans="1:25" x14ac:dyDescent="0.3">
      <c r="A904" s="3" t="s">
        <v>1061</v>
      </c>
      <c r="B904" s="5"/>
      <c r="C904" s="5"/>
      <c r="D904" s="6"/>
      <c r="E904" s="7"/>
      <c r="Q904" s="7"/>
      <c r="W904" s="7"/>
      <c r="Y904" s="8"/>
    </row>
    <row r="905" spans="1:25" x14ac:dyDescent="0.3">
      <c r="A905" s="3" t="s">
        <v>1062</v>
      </c>
      <c r="B905" s="5"/>
      <c r="C905" s="5"/>
      <c r="D905" s="6"/>
      <c r="E905" s="7"/>
      <c r="Q905" s="7"/>
      <c r="W905" s="7"/>
      <c r="Y905" s="8"/>
    </row>
    <row r="906" spans="1:25" x14ac:dyDescent="0.3">
      <c r="A906" s="3" t="s">
        <v>1063</v>
      </c>
      <c r="B906" s="5"/>
      <c r="C906" s="5"/>
      <c r="D906" s="6"/>
      <c r="E906" s="7"/>
      <c r="Q906" s="7"/>
      <c r="W906" s="7"/>
      <c r="Y906" s="8"/>
    </row>
    <row r="907" spans="1:25" x14ac:dyDescent="0.3">
      <c r="A907" s="3" t="s">
        <v>1064</v>
      </c>
      <c r="B907" s="5"/>
      <c r="C907" s="5"/>
      <c r="D907" s="6"/>
      <c r="E907" s="7"/>
      <c r="Q907" s="7"/>
      <c r="W907" s="7"/>
      <c r="Y907" s="8"/>
    </row>
    <row r="908" spans="1:25" x14ac:dyDescent="0.3">
      <c r="A908" s="3" t="s">
        <v>1065</v>
      </c>
      <c r="B908" s="5"/>
      <c r="C908" s="5"/>
      <c r="D908" s="6"/>
      <c r="E908" s="7"/>
      <c r="Q908" s="7"/>
      <c r="W908" s="7"/>
      <c r="Y908" s="8"/>
    </row>
    <row r="909" spans="1:25" x14ac:dyDescent="0.3">
      <c r="A909" s="3" t="s">
        <v>1066</v>
      </c>
      <c r="B909" s="5"/>
      <c r="C909" s="5"/>
      <c r="D909" s="6"/>
      <c r="E909" s="7"/>
      <c r="Q909" s="7"/>
      <c r="W909" s="7"/>
      <c r="Y909" s="8"/>
    </row>
    <row r="910" spans="1:25" x14ac:dyDescent="0.3">
      <c r="A910" s="3" t="s">
        <v>1067</v>
      </c>
      <c r="B910" s="5"/>
      <c r="C910" s="5"/>
      <c r="D910" s="6"/>
      <c r="E910" s="7"/>
      <c r="Q910" s="7"/>
      <c r="W910" s="7"/>
      <c r="Y910" s="8"/>
    </row>
    <row r="911" spans="1:25" x14ac:dyDescent="0.3">
      <c r="A911" s="3" t="s">
        <v>1068</v>
      </c>
      <c r="B911" s="5"/>
      <c r="C911" s="5"/>
      <c r="D911" s="6"/>
      <c r="E911" s="7"/>
      <c r="Q911" s="7"/>
      <c r="W911" s="7"/>
      <c r="Y911" s="8"/>
    </row>
    <row r="912" spans="1:25" x14ac:dyDescent="0.3">
      <c r="A912" s="3" t="s">
        <v>1069</v>
      </c>
      <c r="B912" s="5"/>
      <c r="C912" s="5"/>
      <c r="D912" s="6"/>
      <c r="E912" s="7"/>
      <c r="Q912" s="7"/>
      <c r="W912" s="7"/>
      <c r="Y912" s="8"/>
    </row>
    <row r="913" spans="1:25" x14ac:dyDescent="0.3">
      <c r="A913" s="3" t="s">
        <v>1070</v>
      </c>
      <c r="B913" s="5"/>
      <c r="C913" s="5"/>
      <c r="D913" s="6"/>
      <c r="E913" s="7"/>
      <c r="Q913" s="7"/>
      <c r="W913" s="7"/>
      <c r="Y913" s="8"/>
    </row>
    <row r="914" spans="1:25" x14ac:dyDescent="0.3">
      <c r="A914" s="3" t="s">
        <v>1071</v>
      </c>
      <c r="B914" s="5"/>
      <c r="C914" s="5"/>
      <c r="D914" s="6"/>
      <c r="E914" s="7"/>
      <c r="Q914" s="7"/>
      <c r="W914" s="7"/>
      <c r="Y914" s="8"/>
    </row>
    <row r="915" spans="1:25" x14ac:dyDescent="0.3">
      <c r="A915" s="3" t="s">
        <v>1072</v>
      </c>
      <c r="B915" s="5"/>
      <c r="C915" s="5"/>
      <c r="D915" s="6"/>
      <c r="E915" s="7"/>
      <c r="Q915" s="7"/>
      <c r="W915" s="7"/>
      <c r="Y915" s="8"/>
    </row>
    <row r="916" spans="1:25" x14ac:dyDescent="0.3">
      <c r="A916" s="3" t="s">
        <v>1073</v>
      </c>
      <c r="B916" s="5"/>
      <c r="C916" s="5"/>
      <c r="D916" s="6"/>
      <c r="E916" s="7"/>
      <c r="Q916" s="7"/>
      <c r="W916" s="7"/>
      <c r="Y916" s="8"/>
    </row>
    <row r="917" spans="1:25" x14ac:dyDescent="0.3">
      <c r="A917" s="3" t="s">
        <v>1074</v>
      </c>
      <c r="B917" s="5"/>
      <c r="C917" s="5"/>
      <c r="D917" s="6"/>
      <c r="E917" s="7"/>
      <c r="Q917" s="7"/>
      <c r="W917" s="7"/>
      <c r="Y917" s="8"/>
    </row>
    <row r="918" spans="1:25" x14ac:dyDescent="0.3">
      <c r="A918" s="3" t="s">
        <v>1075</v>
      </c>
      <c r="B918" s="5"/>
      <c r="C918" s="5"/>
      <c r="D918" s="6"/>
      <c r="E918" s="7"/>
      <c r="Q918" s="7"/>
      <c r="W918" s="7"/>
      <c r="Y918" s="8"/>
    </row>
    <row r="919" spans="1:25" x14ac:dyDescent="0.3">
      <c r="A919" s="3" t="s">
        <v>1076</v>
      </c>
      <c r="B919" s="5"/>
      <c r="C919" s="5"/>
      <c r="D919" s="6"/>
      <c r="E919" s="7"/>
      <c r="Q919" s="7"/>
      <c r="W919" s="7"/>
      <c r="Y919" s="8"/>
    </row>
    <row r="920" spans="1:25" x14ac:dyDescent="0.3">
      <c r="A920" s="3" t="s">
        <v>1077</v>
      </c>
      <c r="B920" s="5"/>
      <c r="C920" s="5"/>
      <c r="D920" s="6"/>
      <c r="E920" s="7"/>
      <c r="Q920" s="7"/>
      <c r="W920" s="7"/>
      <c r="Y920" s="8"/>
    </row>
    <row r="921" spans="1:25" x14ac:dyDescent="0.3">
      <c r="A921" s="3" t="s">
        <v>1078</v>
      </c>
      <c r="B921" s="5"/>
      <c r="C921" s="5"/>
      <c r="D921" s="6"/>
      <c r="E921" s="7"/>
      <c r="Q921" s="7"/>
      <c r="W921" s="7"/>
      <c r="Y921" s="8"/>
    </row>
    <row r="922" spans="1:25" x14ac:dyDescent="0.3">
      <c r="A922" s="3" t="s">
        <v>1079</v>
      </c>
      <c r="B922" s="5"/>
      <c r="C922" s="5"/>
      <c r="D922" s="6"/>
      <c r="E922" s="7"/>
      <c r="Q922" s="7"/>
      <c r="W922" s="7"/>
      <c r="Y922" s="8"/>
    </row>
    <row r="923" spans="1:25" x14ac:dyDescent="0.3">
      <c r="A923" s="3" t="s">
        <v>1080</v>
      </c>
      <c r="B923" s="5"/>
      <c r="C923" s="5"/>
      <c r="D923" s="6"/>
      <c r="E923" s="7"/>
      <c r="Q923" s="7"/>
      <c r="W923" s="7"/>
      <c r="Y923" s="8"/>
    </row>
    <row r="924" spans="1:25" x14ac:dyDescent="0.3">
      <c r="A924" s="3" t="s">
        <v>1081</v>
      </c>
      <c r="B924" s="5"/>
      <c r="C924" s="5"/>
      <c r="D924" s="6"/>
      <c r="E924" s="7"/>
      <c r="Q924" s="7"/>
      <c r="W924" s="7"/>
      <c r="Y924" s="8"/>
    </row>
    <row r="925" spans="1:25" x14ac:dyDescent="0.3">
      <c r="A925" s="3" t="s">
        <v>1082</v>
      </c>
      <c r="B925" s="5"/>
      <c r="C925" s="5"/>
      <c r="D925" s="6"/>
      <c r="E925" s="7"/>
      <c r="Q925" s="7"/>
      <c r="W925" s="7"/>
      <c r="Y925" s="8"/>
    </row>
    <row r="926" spans="1:25" x14ac:dyDescent="0.3">
      <c r="A926" s="3" t="s">
        <v>1083</v>
      </c>
      <c r="B926" s="5"/>
      <c r="C926" s="5"/>
      <c r="D926" s="6"/>
      <c r="E926" s="7"/>
      <c r="Q926" s="7"/>
      <c r="W926" s="7"/>
      <c r="Y926" s="8"/>
    </row>
    <row r="927" spans="1:25" x14ac:dyDescent="0.3">
      <c r="A927" s="3" t="s">
        <v>1084</v>
      </c>
      <c r="B927" s="5"/>
      <c r="C927" s="5"/>
      <c r="D927" s="6"/>
      <c r="E927" s="7"/>
      <c r="Q927" s="7"/>
      <c r="W927" s="7"/>
      <c r="Y927" s="8"/>
    </row>
    <row r="928" spans="1:25" x14ac:dyDescent="0.3">
      <c r="A928" s="3" t="s">
        <v>1085</v>
      </c>
      <c r="B928" s="5"/>
      <c r="C928" s="5"/>
      <c r="D928" s="6"/>
      <c r="E928" s="7"/>
      <c r="Q928" s="7"/>
      <c r="W928" s="7"/>
      <c r="Y928" s="8"/>
    </row>
    <row r="929" spans="1:25" x14ac:dyDescent="0.3">
      <c r="A929" s="3" t="s">
        <v>1086</v>
      </c>
      <c r="B929" s="5"/>
      <c r="C929" s="5"/>
      <c r="D929" s="6"/>
      <c r="E929" s="7"/>
      <c r="Q929" s="7"/>
      <c r="W929" s="7"/>
      <c r="Y929" s="8"/>
    </row>
    <row r="930" spans="1:25" x14ac:dyDescent="0.3">
      <c r="A930" s="3" t="s">
        <v>1087</v>
      </c>
      <c r="B930" s="5"/>
      <c r="C930" s="5"/>
      <c r="D930" s="6"/>
      <c r="E930" s="7"/>
      <c r="Q930" s="7"/>
      <c r="W930" s="7"/>
      <c r="Y930" s="8"/>
    </row>
    <row r="931" spans="1:25" x14ac:dyDescent="0.3">
      <c r="A931" s="3" t="s">
        <v>1088</v>
      </c>
      <c r="B931" s="5"/>
      <c r="C931" s="5"/>
      <c r="D931" s="6"/>
      <c r="E931" s="7"/>
      <c r="Q931" s="7"/>
      <c r="W931" s="7"/>
      <c r="Y931" s="8"/>
    </row>
    <row r="932" spans="1:25" x14ac:dyDescent="0.3">
      <c r="A932" s="3" t="s">
        <v>1089</v>
      </c>
      <c r="B932" s="5"/>
      <c r="C932" s="5"/>
      <c r="D932" s="6"/>
      <c r="E932" s="7"/>
      <c r="Q932" s="7"/>
      <c r="W932" s="7"/>
      <c r="Y932" s="8"/>
    </row>
    <row r="933" spans="1:25" x14ac:dyDescent="0.3">
      <c r="A933" s="3" t="s">
        <v>1090</v>
      </c>
      <c r="B933" s="5"/>
      <c r="C933" s="5"/>
      <c r="D933" s="6"/>
      <c r="E933" s="7"/>
      <c r="Q933" s="7"/>
      <c r="W933" s="7"/>
      <c r="Y933" s="8"/>
    </row>
    <row r="934" spans="1:25" x14ac:dyDescent="0.3">
      <c r="A934" s="3" t="s">
        <v>1091</v>
      </c>
      <c r="B934" s="5"/>
      <c r="C934" s="5"/>
      <c r="D934" s="6"/>
      <c r="E934" s="7"/>
      <c r="Q934" s="7"/>
      <c r="W934" s="7"/>
      <c r="Y934" s="8"/>
    </row>
    <row r="935" spans="1:25" x14ac:dyDescent="0.3">
      <c r="A935" s="3" t="s">
        <v>1092</v>
      </c>
      <c r="B935" s="5"/>
      <c r="C935" s="5"/>
      <c r="D935" s="6"/>
      <c r="E935" s="7"/>
      <c r="Q935" s="7"/>
      <c r="W935" s="7"/>
      <c r="Y935" s="8"/>
    </row>
    <row r="936" spans="1:25" x14ac:dyDescent="0.3">
      <c r="A936" s="3" t="s">
        <v>1093</v>
      </c>
      <c r="B936" s="5"/>
      <c r="C936" s="5"/>
      <c r="D936" s="6"/>
      <c r="E936" s="7"/>
      <c r="Q936" s="7"/>
      <c r="W936" s="7"/>
      <c r="Y936" s="8"/>
    </row>
    <row r="937" spans="1:25" x14ac:dyDescent="0.3">
      <c r="A937" s="3" t="s">
        <v>1094</v>
      </c>
      <c r="B937" s="5"/>
      <c r="C937" s="5"/>
      <c r="D937" s="6"/>
      <c r="E937" s="7"/>
      <c r="Q937" s="7"/>
      <c r="W937" s="7"/>
      <c r="Y937" s="8"/>
    </row>
    <row r="938" spans="1:25" x14ac:dyDescent="0.3">
      <c r="A938" s="3" t="s">
        <v>1095</v>
      </c>
      <c r="B938" s="5"/>
      <c r="C938" s="5"/>
      <c r="D938" s="6"/>
      <c r="E938" s="7"/>
      <c r="Q938" s="7"/>
      <c r="W938" s="7"/>
      <c r="Y938" s="8"/>
    </row>
    <row r="939" spans="1:25" x14ac:dyDescent="0.3">
      <c r="A939" s="3" t="s">
        <v>1096</v>
      </c>
      <c r="B939" s="5"/>
      <c r="C939" s="5"/>
      <c r="D939" s="6"/>
      <c r="E939" s="7"/>
      <c r="Q939" s="7"/>
      <c r="W939" s="7"/>
      <c r="Y939" s="8"/>
    </row>
    <row r="940" spans="1:25" x14ac:dyDescent="0.3">
      <c r="A940" s="3" t="s">
        <v>1097</v>
      </c>
      <c r="B940" s="5"/>
      <c r="C940" s="5"/>
      <c r="D940" s="6"/>
      <c r="E940" s="7"/>
      <c r="Q940" s="7"/>
      <c r="W940" s="7"/>
      <c r="Y940" s="8"/>
    </row>
    <row r="941" spans="1:25" x14ac:dyDescent="0.3">
      <c r="A941" s="3" t="s">
        <v>1098</v>
      </c>
      <c r="B941" s="5"/>
      <c r="C941" s="5"/>
      <c r="D941" s="6"/>
      <c r="E941" s="7"/>
      <c r="Q941" s="7"/>
      <c r="W941" s="7"/>
      <c r="Y941" s="8"/>
    </row>
    <row r="942" spans="1:25" x14ac:dyDescent="0.3">
      <c r="A942" s="3" t="s">
        <v>1099</v>
      </c>
      <c r="B942" s="5"/>
      <c r="C942" s="5"/>
      <c r="D942" s="6"/>
      <c r="E942" s="7"/>
      <c r="Q942" s="7"/>
      <c r="W942" s="7"/>
      <c r="Y942" s="8"/>
    </row>
    <row r="943" spans="1:25" x14ac:dyDescent="0.3">
      <c r="A943" s="3" t="s">
        <v>1100</v>
      </c>
      <c r="B943" s="5"/>
      <c r="C943" s="5"/>
      <c r="D943" s="6"/>
      <c r="E943" s="7"/>
      <c r="Q943" s="7"/>
      <c r="W943" s="7"/>
      <c r="Y943" s="8"/>
    </row>
    <row r="944" spans="1:25" x14ac:dyDescent="0.3">
      <c r="A944" s="3" t="s">
        <v>1101</v>
      </c>
      <c r="B944" s="5"/>
      <c r="C944" s="5"/>
      <c r="D944" s="6"/>
      <c r="E944" s="7"/>
      <c r="Q944" s="7"/>
      <c r="W944" s="7"/>
      <c r="Y944" s="8"/>
    </row>
    <row r="945" spans="1:25" x14ac:dyDescent="0.3">
      <c r="A945" s="3" t="s">
        <v>1102</v>
      </c>
      <c r="B945" s="5"/>
      <c r="C945" s="5"/>
      <c r="D945" s="6"/>
      <c r="E945" s="7"/>
      <c r="Q945" s="7"/>
      <c r="W945" s="7"/>
      <c r="Y945" s="8"/>
    </row>
    <row r="946" spans="1:25" x14ac:dyDescent="0.3">
      <c r="A946" s="3" t="s">
        <v>1103</v>
      </c>
      <c r="B946" s="5"/>
      <c r="C946" s="5"/>
      <c r="D946" s="6"/>
      <c r="E946" s="7"/>
      <c r="Q946" s="7"/>
      <c r="W946" s="7"/>
      <c r="Y946" s="8"/>
    </row>
    <row r="947" spans="1:25" x14ac:dyDescent="0.3">
      <c r="A947" s="3" t="s">
        <v>1104</v>
      </c>
      <c r="B947" s="5"/>
      <c r="C947" s="5"/>
      <c r="D947" s="6"/>
      <c r="E947" s="7"/>
      <c r="Q947" s="7"/>
      <c r="W947" s="7"/>
      <c r="Y947" s="8"/>
    </row>
    <row r="948" spans="1:25" x14ac:dyDescent="0.3">
      <c r="A948" s="3" t="s">
        <v>1105</v>
      </c>
      <c r="B948" s="5"/>
      <c r="C948" s="5"/>
      <c r="D948" s="6"/>
      <c r="E948" s="7"/>
      <c r="Q948" s="7"/>
      <c r="W948" s="7"/>
      <c r="Y948" s="8"/>
    </row>
    <row r="949" spans="1:25" x14ac:dyDescent="0.3">
      <c r="A949" s="3" t="s">
        <v>1106</v>
      </c>
      <c r="B949" s="5"/>
      <c r="C949" s="5"/>
      <c r="D949" s="6"/>
      <c r="E949" s="7"/>
      <c r="Q949" s="7"/>
      <c r="W949" s="7"/>
      <c r="Y949" s="8"/>
    </row>
    <row r="950" spans="1:25" x14ac:dyDescent="0.3">
      <c r="A950" s="3" t="s">
        <v>1107</v>
      </c>
      <c r="B950" s="5"/>
      <c r="C950" s="5"/>
      <c r="D950" s="6"/>
      <c r="E950" s="7"/>
      <c r="Q950" s="7"/>
      <c r="W950" s="7"/>
      <c r="Y950" s="8"/>
    </row>
    <row r="951" spans="1:25" x14ac:dyDescent="0.3">
      <c r="A951" s="3" t="s">
        <v>1108</v>
      </c>
      <c r="B951" s="5"/>
      <c r="C951" s="5"/>
      <c r="D951" s="6"/>
      <c r="E951" s="7"/>
      <c r="Q951" s="7"/>
      <c r="W951" s="7"/>
      <c r="Y951" s="8"/>
    </row>
    <row r="952" spans="1:25" x14ac:dyDescent="0.3">
      <c r="A952" s="3" t="s">
        <v>1109</v>
      </c>
      <c r="B952" s="5"/>
      <c r="C952" s="5"/>
      <c r="D952" s="6"/>
      <c r="E952" s="7"/>
      <c r="Q952" s="7"/>
      <c r="W952" s="7"/>
      <c r="Y952" s="8"/>
    </row>
    <row r="953" spans="1:25" x14ac:dyDescent="0.3">
      <c r="A953" s="3" t="s">
        <v>1110</v>
      </c>
      <c r="B953" s="5"/>
      <c r="C953" s="5"/>
      <c r="D953" s="6"/>
      <c r="E953" s="7"/>
      <c r="Q953" s="7"/>
      <c r="W953" s="7"/>
      <c r="Y953" s="8"/>
    </row>
    <row r="954" spans="1:25" x14ac:dyDescent="0.3">
      <c r="A954" s="3" t="s">
        <v>1111</v>
      </c>
      <c r="B954" s="5"/>
      <c r="C954" s="5"/>
      <c r="D954" s="6"/>
      <c r="E954" s="7"/>
      <c r="Q954" s="7"/>
      <c r="W954" s="7"/>
      <c r="Y954" s="8"/>
    </row>
    <row r="955" spans="1:25" x14ac:dyDescent="0.3">
      <c r="A955" s="3" t="s">
        <v>1112</v>
      </c>
      <c r="B955" s="5"/>
      <c r="C955" s="5"/>
      <c r="D955" s="6"/>
      <c r="E955" s="7"/>
      <c r="Q955" s="7"/>
      <c r="W955" s="7"/>
      <c r="Y955" s="8"/>
    </row>
    <row r="956" spans="1:25" x14ac:dyDescent="0.3">
      <c r="A956" s="3" t="s">
        <v>1113</v>
      </c>
      <c r="B956" s="5"/>
      <c r="C956" s="5"/>
      <c r="D956" s="6"/>
      <c r="E956" s="7"/>
      <c r="Q956" s="7"/>
      <c r="W956" s="7"/>
      <c r="Y956" s="8"/>
    </row>
    <row r="957" spans="1:25" x14ac:dyDescent="0.3">
      <c r="A957" s="3" t="s">
        <v>1114</v>
      </c>
      <c r="B957" s="5"/>
      <c r="C957" s="5"/>
      <c r="D957" s="6"/>
      <c r="E957" s="7"/>
      <c r="Q957" s="7"/>
      <c r="W957" s="7"/>
      <c r="Y957" s="8"/>
    </row>
    <row r="958" spans="1:25" x14ac:dyDescent="0.3">
      <c r="A958" s="3" t="s">
        <v>1115</v>
      </c>
      <c r="B958" s="5"/>
      <c r="C958" s="5"/>
      <c r="D958" s="6"/>
      <c r="E958" s="7"/>
      <c r="Q958" s="7"/>
      <c r="W958" s="7"/>
      <c r="Y958" s="8"/>
    </row>
    <row r="959" spans="1:25" x14ac:dyDescent="0.3">
      <c r="A959" s="3" t="s">
        <v>1116</v>
      </c>
      <c r="B959" s="5"/>
      <c r="C959" s="5"/>
      <c r="D959" s="6"/>
      <c r="E959" s="7"/>
      <c r="Q959" s="7"/>
      <c r="W959" s="7"/>
      <c r="Y959" s="8"/>
    </row>
    <row r="960" spans="1:25" x14ac:dyDescent="0.3">
      <c r="A960" s="3" t="s">
        <v>1117</v>
      </c>
      <c r="B960" s="5"/>
      <c r="C960" s="5"/>
      <c r="D960" s="6"/>
      <c r="E960" s="7"/>
      <c r="Q960" s="7"/>
      <c r="W960" s="7"/>
      <c r="Y960" s="8"/>
    </row>
    <row r="961" spans="1:25" x14ac:dyDescent="0.3">
      <c r="A961" s="3" t="s">
        <v>1118</v>
      </c>
      <c r="B961" s="5"/>
      <c r="C961" s="5"/>
      <c r="D961" s="6"/>
      <c r="E961" s="7"/>
      <c r="Q961" s="7"/>
      <c r="W961" s="7"/>
      <c r="Y961" s="8"/>
    </row>
    <row r="962" spans="1:25" x14ac:dyDescent="0.3">
      <c r="A962" s="3" t="s">
        <v>1119</v>
      </c>
      <c r="B962" s="5"/>
      <c r="C962" s="5"/>
      <c r="D962" s="6"/>
      <c r="E962" s="7"/>
      <c r="Q962" s="7"/>
      <c r="W962" s="7"/>
      <c r="Y962" s="8"/>
    </row>
    <row r="963" spans="1:25" x14ac:dyDescent="0.3">
      <c r="A963" s="3" t="s">
        <v>1120</v>
      </c>
      <c r="B963" s="5"/>
      <c r="C963" s="5"/>
      <c r="D963" s="6"/>
      <c r="E963" s="7"/>
      <c r="Q963" s="7"/>
      <c r="W963" s="7"/>
      <c r="Y963" s="8"/>
    </row>
    <row r="964" spans="1:25" x14ac:dyDescent="0.3">
      <c r="A964" s="3" t="s">
        <v>1121</v>
      </c>
      <c r="B964" s="5"/>
      <c r="C964" s="5"/>
      <c r="D964" s="6"/>
      <c r="E964" s="7"/>
      <c r="Q964" s="7"/>
      <c r="W964" s="7"/>
      <c r="Y964" s="8"/>
    </row>
    <row r="965" spans="1:25" x14ac:dyDescent="0.3">
      <c r="A965" s="3" t="s">
        <v>1122</v>
      </c>
      <c r="B965" s="5"/>
      <c r="C965" s="5"/>
      <c r="D965" s="6"/>
      <c r="E965" s="7"/>
      <c r="Q965" s="7"/>
      <c r="W965" s="7"/>
      <c r="Y965" s="8"/>
    </row>
    <row r="966" spans="1:25" x14ac:dyDescent="0.3">
      <c r="A966" s="3" t="s">
        <v>1123</v>
      </c>
      <c r="B966" s="5"/>
      <c r="C966" s="5"/>
      <c r="D966" s="6"/>
      <c r="E966" s="7"/>
      <c r="Q966" s="7"/>
      <c r="W966" s="7"/>
      <c r="Y966" s="8"/>
    </row>
    <row r="967" spans="1:25" x14ac:dyDescent="0.3">
      <c r="A967" s="3" t="s">
        <v>1124</v>
      </c>
      <c r="B967" s="5"/>
      <c r="C967" s="5"/>
      <c r="D967" s="6"/>
      <c r="E967" s="7"/>
      <c r="Q967" s="7"/>
      <c r="W967" s="7"/>
      <c r="Y967" s="8"/>
    </row>
    <row r="968" spans="1:25" x14ac:dyDescent="0.3">
      <c r="A968" s="3" t="s">
        <v>1125</v>
      </c>
      <c r="B968" s="5"/>
      <c r="C968" s="5"/>
      <c r="D968" s="6"/>
      <c r="E968" s="7"/>
      <c r="Q968" s="7"/>
      <c r="W968" s="7"/>
      <c r="Y968" s="8"/>
    </row>
    <row r="969" spans="1:25" x14ac:dyDescent="0.3">
      <c r="A969" s="3" t="s">
        <v>1126</v>
      </c>
      <c r="B969" s="5"/>
      <c r="C969" s="5"/>
      <c r="D969" s="6"/>
      <c r="E969" s="7"/>
      <c r="Q969" s="7"/>
      <c r="W969" s="7"/>
      <c r="Y969" s="8"/>
    </row>
    <row r="970" spans="1:25" x14ac:dyDescent="0.3">
      <c r="A970" s="3" t="s">
        <v>1127</v>
      </c>
      <c r="B970" s="5"/>
      <c r="C970" s="5"/>
      <c r="D970" s="6"/>
      <c r="E970" s="7"/>
      <c r="Q970" s="7"/>
      <c r="W970" s="7"/>
      <c r="Y970" s="8"/>
    </row>
    <row r="971" spans="1:25" x14ac:dyDescent="0.3">
      <c r="A971" s="3" t="s">
        <v>1128</v>
      </c>
      <c r="B971" s="5"/>
      <c r="C971" s="5"/>
      <c r="D971" s="6"/>
      <c r="E971" s="7"/>
      <c r="Q971" s="7"/>
      <c r="W971" s="7"/>
      <c r="Y971" s="8"/>
    </row>
    <row r="972" spans="1:25" x14ac:dyDescent="0.3">
      <c r="A972" s="3" t="s">
        <v>1129</v>
      </c>
      <c r="B972" s="5"/>
      <c r="C972" s="5"/>
      <c r="D972" s="6"/>
      <c r="E972" s="7"/>
      <c r="Q972" s="7"/>
      <c r="W972" s="7"/>
      <c r="Y972" s="8"/>
    </row>
    <row r="973" spans="1:25" x14ac:dyDescent="0.3">
      <c r="A973" s="3" t="s">
        <v>1130</v>
      </c>
      <c r="B973" s="5"/>
      <c r="C973" s="5"/>
      <c r="D973" s="6"/>
      <c r="E973" s="7"/>
      <c r="Q973" s="7"/>
      <c r="W973" s="7"/>
      <c r="Y973" s="8"/>
    </row>
    <row r="974" spans="1:25" x14ac:dyDescent="0.3">
      <c r="A974" s="3" t="s">
        <v>1131</v>
      </c>
      <c r="B974" s="5"/>
      <c r="C974" s="5"/>
      <c r="D974" s="6"/>
      <c r="E974" s="7"/>
      <c r="Q974" s="7"/>
      <c r="W974" s="7"/>
      <c r="Y974" s="8"/>
    </row>
    <row r="975" spans="1:25" x14ac:dyDescent="0.3">
      <c r="A975" s="3" t="s">
        <v>1132</v>
      </c>
      <c r="B975" s="5"/>
      <c r="C975" s="5"/>
      <c r="D975" s="6"/>
      <c r="E975" s="7"/>
      <c r="Q975" s="7"/>
      <c r="W975" s="7"/>
      <c r="Y975" s="8"/>
    </row>
    <row r="976" spans="1:25" x14ac:dyDescent="0.3">
      <c r="A976" s="3" t="s">
        <v>1133</v>
      </c>
      <c r="B976" s="5"/>
      <c r="C976" s="5"/>
      <c r="D976" s="6"/>
      <c r="E976" s="7"/>
      <c r="Q976" s="7"/>
      <c r="W976" s="7"/>
      <c r="Y976" s="8"/>
    </row>
    <row r="977" spans="1:25" x14ac:dyDescent="0.3">
      <c r="A977" s="3" t="s">
        <v>1134</v>
      </c>
      <c r="B977" s="5"/>
      <c r="C977" s="5"/>
      <c r="D977" s="6"/>
      <c r="E977" s="7"/>
      <c r="Q977" s="7"/>
      <c r="W977" s="7"/>
      <c r="Y977" s="8"/>
    </row>
    <row r="978" spans="1:25" x14ac:dyDescent="0.3">
      <c r="A978" s="3" t="s">
        <v>1135</v>
      </c>
      <c r="B978" s="5"/>
      <c r="C978" s="5"/>
      <c r="D978" s="6"/>
      <c r="E978" s="7"/>
      <c r="Q978" s="7"/>
      <c r="W978" s="7"/>
      <c r="Y978" s="8"/>
    </row>
    <row r="979" spans="1:25" x14ac:dyDescent="0.3">
      <c r="A979" s="3" t="s">
        <v>1136</v>
      </c>
      <c r="B979" s="5"/>
      <c r="C979" s="5"/>
      <c r="D979" s="6"/>
      <c r="E979" s="7"/>
      <c r="Q979" s="7"/>
      <c r="W979" s="7"/>
      <c r="Y979" s="8"/>
    </row>
    <row r="980" spans="1:25" x14ac:dyDescent="0.3">
      <c r="A980" s="3" t="s">
        <v>1137</v>
      </c>
      <c r="B980" s="5"/>
      <c r="C980" s="5"/>
      <c r="D980" s="6"/>
      <c r="E980" s="7"/>
      <c r="Q980" s="7"/>
      <c r="W980" s="7"/>
      <c r="Y980" s="8"/>
    </row>
    <row r="981" spans="1:25" x14ac:dyDescent="0.3">
      <c r="A981" s="3" t="s">
        <v>1138</v>
      </c>
      <c r="B981" s="5"/>
      <c r="C981" s="5"/>
      <c r="D981" s="6"/>
      <c r="E981" s="7"/>
      <c r="Q981" s="7"/>
      <c r="W981" s="7"/>
      <c r="Y981" s="8"/>
    </row>
    <row r="982" spans="1:25" x14ac:dyDescent="0.3">
      <c r="A982" s="3" t="s">
        <v>1139</v>
      </c>
      <c r="B982" s="5"/>
      <c r="C982" s="5"/>
      <c r="D982" s="6"/>
      <c r="E982" s="7"/>
      <c r="Q982" s="7"/>
      <c r="W982" s="7"/>
      <c r="Y982" s="8"/>
    </row>
    <row r="983" spans="1:25" x14ac:dyDescent="0.3">
      <c r="A983" s="3" t="s">
        <v>1140</v>
      </c>
      <c r="B983" s="5"/>
      <c r="C983" s="5"/>
      <c r="D983" s="6"/>
      <c r="E983" s="7"/>
      <c r="Q983" s="7"/>
      <c r="W983" s="7"/>
      <c r="Y983" s="8"/>
    </row>
    <row r="984" spans="1:25" x14ac:dyDescent="0.3">
      <c r="A984" s="3" t="s">
        <v>1141</v>
      </c>
      <c r="B984" s="5"/>
      <c r="C984" s="5"/>
      <c r="D984" s="6"/>
      <c r="E984" s="7"/>
      <c r="Q984" s="7"/>
      <c r="W984" s="7"/>
      <c r="Y984" s="8"/>
    </row>
    <row r="985" spans="1:25" x14ac:dyDescent="0.3">
      <c r="A985" s="3" t="s">
        <v>1142</v>
      </c>
      <c r="B985" s="5"/>
      <c r="C985" s="5"/>
      <c r="D985" s="6"/>
      <c r="E985" s="7"/>
      <c r="Q985" s="7"/>
      <c r="W985" s="7"/>
      <c r="Y985" s="8"/>
    </row>
    <row r="986" spans="1:25" x14ac:dyDescent="0.3">
      <c r="A986" s="3" t="s">
        <v>1143</v>
      </c>
      <c r="B986" s="5"/>
      <c r="C986" s="5"/>
      <c r="D986" s="6"/>
      <c r="E986" s="7"/>
      <c r="Q986" s="7"/>
      <c r="W986" s="7"/>
      <c r="Y986" s="8"/>
    </row>
    <row r="987" spans="1:25" x14ac:dyDescent="0.3">
      <c r="A987" s="3" t="s">
        <v>1144</v>
      </c>
      <c r="B987" s="5"/>
      <c r="C987" s="5"/>
      <c r="D987" s="6"/>
      <c r="E987" s="7"/>
      <c r="Q987" s="7"/>
      <c r="W987" s="7"/>
      <c r="Y987" s="8"/>
    </row>
    <row r="988" spans="1:25" x14ac:dyDescent="0.3">
      <c r="A988" s="3" t="s">
        <v>1145</v>
      </c>
      <c r="B988" s="5"/>
      <c r="C988" s="5"/>
      <c r="D988" s="6"/>
      <c r="E988" s="7"/>
      <c r="Q988" s="7"/>
      <c r="W988" s="7"/>
      <c r="Y988" s="8"/>
    </row>
    <row r="989" spans="1:25" x14ac:dyDescent="0.3">
      <c r="A989" s="3" t="s">
        <v>1146</v>
      </c>
      <c r="B989" s="5"/>
      <c r="C989" s="5"/>
      <c r="D989" s="6"/>
      <c r="E989" s="7"/>
      <c r="Q989" s="7"/>
      <c r="W989" s="7"/>
      <c r="Y989" s="8"/>
    </row>
    <row r="990" spans="1:25" x14ac:dyDescent="0.3">
      <c r="A990" s="3" t="s">
        <v>1147</v>
      </c>
      <c r="B990" s="5"/>
      <c r="C990" s="5"/>
      <c r="D990" s="6"/>
      <c r="E990" s="7"/>
      <c r="Q990" s="7"/>
      <c r="W990" s="7"/>
      <c r="Y990" s="8"/>
    </row>
    <row r="991" spans="1:25" x14ac:dyDescent="0.3">
      <c r="A991" s="3" t="s">
        <v>1148</v>
      </c>
      <c r="B991" s="5"/>
      <c r="C991" s="5"/>
      <c r="D991" s="6"/>
      <c r="E991" s="7"/>
      <c r="Q991" s="7"/>
      <c r="W991" s="7"/>
      <c r="Y991" s="8"/>
    </row>
    <row r="992" spans="1:25" x14ac:dyDescent="0.3">
      <c r="A992" s="3" t="s">
        <v>1149</v>
      </c>
      <c r="B992" s="5"/>
      <c r="C992" s="5"/>
      <c r="D992" s="6"/>
      <c r="E992" s="7"/>
      <c r="Q992" s="7"/>
      <c r="W992" s="7"/>
      <c r="Y992" s="8"/>
    </row>
    <row r="993" spans="1:25" x14ac:dyDescent="0.3">
      <c r="A993" s="3" t="s">
        <v>1150</v>
      </c>
      <c r="B993" s="5"/>
      <c r="C993" s="5"/>
      <c r="D993" s="6"/>
      <c r="E993" s="7"/>
      <c r="Q993" s="7"/>
      <c r="W993" s="7"/>
      <c r="Y993" s="8"/>
    </row>
    <row r="994" spans="1:25" x14ac:dyDescent="0.3">
      <c r="A994" s="3" t="s">
        <v>1151</v>
      </c>
      <c r="B994" s="5"/>
      <c r="C994" s="5"/>
      <c r="D994" s="6"/>
      <c r="E994" s="7"/>
      <c r="Q994" s="7"/>
      <c r="W994" s="7"/>
      <c r="Y994" s="8"/>
    </row>
    <row r="995" spans="1:25" x14ac:dyDescent="0.3">
      <c r="A995" s="3" t="s">
        <v>1152</v>
      </c>
      <c r="B995" s="5"/>
      <c r="C995" s="5"/>
      <c r="D995" s="6"/>
      <c r="E995" s="7"/>
      <c r="Q995" s="7"/>
      <c r="W995" s="7"/>
      <c r="Y995" s="8"/>
    </row>
    <row r="996" spans="1:25" x14ac:dyDescent="0.3">
      <c r="A996" s="3" t="s">
        <v>1153</v>
      </c>
      <c r="B996" s="5"/>
      <c r="C996" s="5"/>
      <c r="D996" s="6"/>
      <c r="E996" s="7"/>
      <c r="Q996" s="7"/>
      <c r="W996" s="7"/>
      <c r="Y996" s="8"/>
    </row>
    <row r="997" spans="1:25" x14ac:dyDescent="0.3">
      <c r="A997" s="3" t="s">
        <v>1154</v>
      </c>
      <c r="B997" s="5"/>
      <c r="C997" s="5"/>
      <c r="D997" s="6"/>
      <c r="E997" s="7"/>
      <c r="Q997" s="7"/>
      <c r="W997" s="7"/>
      <c r="Y997" s="8"/>
    </row>
    <row r="998" spans="1:25" x14ac:dyDescent="0.3">
      <c r="A998" s="3" t="s">
        <v>1155</v>
      </c>
      <c r="B998" s="5"/>
      <c r="C998" s="5"/>
      <c r="D998" s="6"/>
      <c r="E998" s="7"/>
      <c r="Q998" s="7"/>
      <c r="W998" s="7"/>
      <c r="Y998" s="8"/>
    </row>
    <row r="999" spans="1:25" x14ac:dyDescent="0.3">
      <c r="A999" s="3" t="s">
        <v>1156</v>
      </c>
      <c r="B999" s="5"/>
      <c r="C999" s="5"/>
      <c r="D999" s="6"/>
      <c r="E999" s="7"/>
      <c r="Q999" s="7"/>
      <c r="W999" s="7"/>
      <c r="Y999" s="8"/>
    </row>
    <row r="1000" spans="1:25" x14ac:dyDescent="0.3">
      <c r="A1000" s="3" t="s">
        <v>1157</v>
      </c>
      <c r="B1000" s="5"/>
      <c r="C1000" s="5"/>
      <c r="D1000" s="6"/>
      <c r="E1000" s="7"/>
      <c r="Q1000" s="7"/>
      <c r="W1000" s="7"/>
      <c r="Y1000" s="8"/>
    </row>
    <row r="1001" spans="1:25" x14ac:dyDescent="0.3">
      <c r="A1001" s="3" t="s">
        <v>1158</v>
      </c>
      <c r="B1001" s="5"/>
      <c r="C1001" s="5"/>
      <c r="D1001" s="6"/>
      <c r="E1001" s="7"/>
      <c r="Q1001" s="7"/>
      <c r="W1001" s="7"/>
      <c r="Y1001" s="8"/>
    </row>
    <row r="1002" spans="1:25" x14ac:dyDescent="0.3">
      <c r="A1002" s="3" t="s">
        <v>1159</v>
      </c>
      <c r="B1002" s="5"/>
      <c r="C1002" s="5"/>
      <c r="D1002" s="6"/>
      <c r="E1002" s="7"/>
      <c r="Q1002" s="7"/>
      <c r="W1002" s="7"/>
      <c r="Y1002" s="8"/>
    </row>
    <row r="1003" spans="1:25" x14ac:dyDescent="0.3">
      <c r="A1003" s="3" t="s">
        <v>1160</v>
      </c>
      <c r="B1003" s="5"/>
      <c r="C1003" s="5"/>
      <c r="D1003" s="6"/>
      <c r="E1003" s="7"/>
      <c r="Q1003" s="7"/>
      <c r="W1003" s="7"/>
      <c r="Y1003" s="8"/>
    </row>
    <row r="1004" spans="1:25" x14ac:dyDescent="0.3">
      <c r="A1004" s="3" t="s">
        <v>1161</v>
      </c>
      <c r="B1004" s="5"/>
      <c r="C1004" s="5"/>
      <c r="D1004" s="6"/>
      <c r="E1004" s="7"/>
      <c r="Q1004" s="7"/>
      <c r="W1004" s="7"/>
      <c r="Y1004" s="8"/>
    </row>
    <row r="1005" spans="1:25" x14ac:dyDescent="0.3">
      <c r="A1005" s="3" t="s">
        <v>1162</v>
      </c>
      <c r="B1005" s="5"/>
      <c r="C1005" s="5"/>
      <c r="D1005" s="6"/>
      <c r="E1005" s="7"/>
      <c r="Q1005" s="7"/>
      <c r="W1005" s="7"/>
      <c r="Y1005" s="8"/>
    </row>
    <row r="1006" spans="1:25" x14ac:dyDescent="0.3">
      <c r="A1006" s="3" t="s">
        <v>1163</v>
      </c>
      <c r="B1006" s="5"/>
      <c r="C1006" s="5"/>
      <c r="D1006" s="6"/>
      <c r="E1006" s="7"/>
      <c r="Q1006" s="7"/>
      <c r="W1006" s="7"/>
      <c r="Y1006" s="8"/>
    </row>
    <row r="1007" spans="1:25" x14ac:dyDescent="0.3">
      <c r="A1007" s="3" t="s">
        <v>1164</v>
      </c>
      <c r="B1007" s="5"/>
      <c r="C1007" s="5"/>
      <c r="D1007" s="6"/>
      <c r="E1007" s="7"/>
      <c r="Q1007" s="7"/>
      <c r="W1007" s="7"/>
      <c r="Y1007" s="8"/>
    </row>
    <row r="1008" spans="1:25" x14ac:dyDescent="0.3">
      <c r="A1008" s="3" t="s">
        <v>1165</v>
      </c>
      <c r="B1008" s="5"/>
      <c r="C1008" s="5"/>
      <c r="D1008" s="6"/>
      <c r="E1008" s="7"/>
      <c r="Q1008" s="7"/>
      <c r="W1008" s="7"/>
      <c r="Y1008" s="8"/>
    </row>
    <row r="1009" spans="1:25" x14ac:dyDescent="0.3">
      <c r="A1009" s="3" t="s">
        <v>1166</v>
      </c>
      <c r="B1009" s="5"/>
      <c r="C1009" s="5"/>
      <c r="D1009" s="6"/>
      <c r="E1009" s="7"/>
      <c r="Q1009" s="7"/>
      <c r="W1009" s="7"/>
      <c r="Y1009" s="8"/>
    </row>
    <row r="1010" spans="1:25" x14ac:dyDescent="0.3">
      <c r="A1010" s="3" t="s">
        <v>1167</v>
      </c>
      <c r="B1010" s="5"/>
      <c r="C1010" s="5"/>
      <c r="D1010" s="6"/>
      <c r="E1010" s="7"/>
      <c r="Q1010" s="7"/>
      <c r="W1010" s="7"/>
      <c r="Y1010" s="8"/>
    </row>
    <row r="1011" spans="1:25" x14ac:dyDescent="0.3">
      <c r="A1011" s="3" t="s">
        <v>1168</v>
      </c>
      <c r="B1011" s="5"/>
      <c r="C1011" s="5"/>
      <c r="D1011" s="6"/>
      <c r="E1011" s="7"/>
      <c r="Q1011" s="7"/>
      <c r="W1011" s="7"/>
      <c r="Y1011" s="8"/>
    </row>
    <row r="1012" spans="1:25" x14ac:dyDescent="0.3">
      <c r="A1012" s="3" t="s">
        <v>1169</v>
      </c>
      <c r="B1012" s="5"/>
      <c r="C1012" s="5"/>
      <c r="D1012" s="6"/>
      <c r="E1012" s="7"/>
      <c r="Q1012" s="7"/>
      <c r="W1012" s="7"/>
      <c r="Y1012" s="8"/>
    </row>
    <row r="1013" spans="1:25" x14ac:dyDescent="0.3">
      <c r="A1013" s="3" t="s">
        <v>1170</v>
      </c>
      <c r="B1013" s="5"/>
      <c r="C1013" s="5"/>
      <c r="D1013" s="6"/>
      <c r="E1013" s="7"/>
      <c r="Q1013" s="7"/>
      <c r="W1013" s="7"/>
      <c r="Y1013" s="8"/>
    </row>
    <row r="1014" spans="1:25" x14ac:dyDescent="0.3">
      <c r="A1014" s="3" t="s">
        <v>1171</v>
      </c>
      <c r="B1014" s="5"/>
      <c r="C1014" s="5"/>
      <c r="D1014" s="6"/>
      <c r="E1014" s="7"/>
      <c r="Q1014" s="7"/>
      <c r="W1014" s="7"/>
      <c r="Y1014" s="8"/>
    </row>
    <row r="1015" spans="1:25" x14ac:dyDescent="0.3">
      <c r="A1015" s="3" t="s">
        <v>1172</v>
      </c>
      <c r="B1015" s="5"/>
      <c r="C1015" s="5"/>
      <c r="D1015" s="6"/>
      <c r="E1015" s="7"/>
      <c r="Q1015" s="7"/>
      <c r="W1015" s="7"/>
      <c r="Y1015" s="8"/>
    </row>
    <row r="1016" spans="1:25" x14ac:dyDescent="0.3">
      <c r="A1016" s="3" t="s">
        <v>1173</v>
      </c>
      <c r="B1016" s="5"/>
      <c r="C1016" s="5"/>
      <c r="D1016" s="6"/>
      <c r="E1016" s="7"/>
      <c r="Q1016" s="7"/>
      <c r="W1016" s="7"/>
      <c r="Y1016" s="8"/>
    </row>
    <row r="1017" spans="1:25" x14ac:dyDescent="0.3">
      <c r="A1017" s="3" t="s">
        <v>1174</v>
      </c>
      <c r="B1017" s="5"/>
      <c r="C1017" s="5"/>
      <c r="D1017" s="6"/>
      <c r="E1017" s="7"/>
      <c r="Q1017" s="7"/>
      <c r="W1017" s="7"/>
      <c r="Y1017" s="8"/>
    </row>
    <row r="1018" spans="1:25" x14ac:dyDescent="0.3">
      <c r="A1018" s="3" t="s">
        <v>1175</v>
      </c>
      <c r="B1018" s="5"/>
      <c r="C1018" s="5"/>
      <c r="D1018" s="6"/>
      <c r="E1018" s="7"/>
      <c r="Q1018" s="7"/>
      <c r="W1018" s="7"/>
      <c r="Y1018" s="8"/>
    </row>
    <row r="1019" spans="1:25" x14ac:dyDescent="0.3">
      <c r="A1019" s="3" t="s">
        <v>1176</v>
      </c>
      <c r="B1019" s="5"/>
      <c r="C1019" s="5"/>
      <c r="D1019" s="6"/>
      <c r="E1019" s="7"/>
      <c r="Q1019" s="7"/>
      <c r="W1019" s="7"/>
      <c r="Y1019" s="8"/>
    </row>
    <row r="1020" spans="1:25" x14ac:dyDescent="0.3">
      <c r="A1020" s="3" t="s">
        <v>1177</v>
      </c>
      <c r="B1020" s="5"/>
      <c r="C1020" s="5"/>
      <c r="D1020" s="6"/>
      <c r="E1020" s="7"/>
      <c r="Q1020" s="7"/>
      <c r="W1020" s="7"/>
      <c r="Y1020" s="8"/>
    </row>
    <row r="1021" spans="1:25" x14ac:dyDescent="0.3">
      <c r="A1021" s="3" t="s">
        <v>1178</v>
      </c>
      <c r="B1021" s="5"/>
      <c r="C1021" s="5"/>
      <c r="D1021" s="6"/>
      <c r="E1021" s="7"/>
      <c r="Q1021" s="7"/>
      <c r="W1021" s="7"/>
      <c r="Y1021" s="8"/>
    </row>
    <row r="1022" spans="1:25" x14ac:dyDescent="0.3">
      <c r="A1022" s="3" t="s">
        <v>1179</v>
      </c>
      <c r="B1022" s="5"/>
      <c r="C1022" s="5"/>
      <c r="D1022" s="6"/>
      <c r="E1022" s="7"/>
      <c r="Q1022" s="7"/>
      <c r="W1022" s="7"/>
      <c r="Y1022" s="8"/>
    </row>
    <row r="1023" spans="1:25" x14ac:dyDescent="0.3">
      <c r="A1023" s="3" t="s">
        <v>1180</v>
      </c>
      <c r="B1023" s="5"/>
      <c r="C1023" s="5"/>
      <c r="D1023" s="6"/>
      <c r="E1023" s="7"/>
      <c r="Q1023" s="7"/>
      <c r="W1023" s="7"/>
      <c r="Y1023" s="8"/>
    </row>
    <row r="1024" spans="1:25" x14ac:dyDescent="0.3">
      <c r="A1024" s="3" t="s">
        <v>1181</v>
      </c>
      <c r="B1024" s="5"/>
      <c r="C1024" s="5"/>
      <c r="D1024" s="6"/>
      <c r="E1024" s="7"/>
      <c r="Q1024" s="7"/>
      <c r="W1024" s="7"/>
      <c r="Y1024" s="8"/>
    </row>
    <row r="1025" spans="1:25" x14ac:dyDescent="0.3">
      <c r="A1025" s="3" t="s">
        <v>1182</v>
      </c>
      <c r="B1025" s="5"/>
      <c r="C1025" s="5"/>
      <c r="D1025" s="6"/>
      <c r="E1025" s="7"/>
      <c r="Q1025" s="7"/>
      <c r="W1025" s="7"/>
      <c r="Y1025" s="8"/>
    </row>
    <row r="1026" spans="1:25" x14ac:dyDescent="0.3">
      <c r="A1026" s="3" t="s">
        <v>1183</v>
      </c>
      <c r="B1026" s="5"/>
      <c r="C1026" s="5"/>
      <c r="D1026" s="6"/>
      <c r="E1026" s="7"/>
      <c r="Q1026" s="7"/>
      <c r="W1026" s="7"/>
      <c r="Y1026" s="8"/>
    </row>
    <row r="1027" spans="1:25" x14ac:dyDescent="0.3">
      <c r="A1027" s="3" t="s">
        <v>1184</v>
      </c>
      <c r="B1027" s="5"/>
      <c r="C1027" s="5"/>
      <c r="D1027" s="6"/>
      <c r="E1027" s="7"/>
      <c r="Q1027" s="7"/>
      <c r="W1027" s="7"/>
      <c r="Y1027" s="8"/>
    </row>
    <row r="1028" spans="1:25" x14ac:dyDescent="0.3">
      <c r="A1028" s="3" t="s">
        <v>1185</v>
      </c>
      <c r="B1028" s="5"/>
      <c r="C1028" s="5"/>
      <c r="D1028" s="6"/>
      <c r="E1028" s="7"/>
      <c r="Q1028" s="7"/>
      <c r="W1028" s="7"/>
      <c r="Y1028" s="8"/>
    </row>
    <row r="1029" spans="1:25" x14ac:dyDescent="0.3">
      <c r="A1029" s="3" t="s">
        <v>1186</v>
      </c>
      <c r="B1029" s="5"/>
      <c r="C1029" s="5"/>
      <c r="D1029" s="6"/>
      <c r="E1029" s="7"/>
      <c r="Q1029" s="7"/>
      <c r="W1029" s="7"/>
      <c r="Y1029" s="8"/>
    </row>
    <row r="1030" spans="1:25" x14ac:dyDescent="0.3">
      <c r="A1030" s="3" t="s">
        <v>1187</v>
      </c>
      <c r="B1030" s="5"/>
      <c r="C1030" s="5"/>
      <c r="D1030" s="6"/>
      <c r="E1030" s="7"/>
      <c r="Q1030" s="7"/>
      <c r="W1030" s="7"/>
      <c r="Y1030" s="8"/>
    </row>
    <row r="1031" spans="1:25" x14ac:dyDescent="0.3">
      <c r="A1031" s="3" t="s">
        <v>1188</v>
      </c>
      <c r="B1031" s="5"/>
      <c r="C1031" s="5"/>
      <c r="D1031" s="6"/>
      <c r="E1031" s="7"/>
      <c r="Q1031" s="7"/>
      <c r="W1031" s="7"/>
      <c r="Y1031" s="8"/>
    </row>
    <row r="1032" spans="1:25" x14ac:dyDescent="0.3">
      <c r="A1032" s="3" t="s">
        <v>1189</v>
      </c>
      <c r="B1032" s="5"/>
      <c r="C1032" s="5"/>
      <c r="D1032" s="6"/>
      <c r="E1032" s="7"/>
      <c r="Q1032" s="7"/>
      <c r="W1032" s="7"/>
      <c r="Y1032" s="8"/>
    </row>
    <row r="1033" spans="1:25" x14ac:dyDescent="0.3">
      <c r="A1033" s="3" t="s">
        <v>1190</v>
      </c>
      <c r="B1033" s="5"/>
      <c r="C1033" s="5"/>
      <c r="D1033" s="6"/>
      <c r="E1033" s="7"/>
      <c r="Q1033" s="7"/>
      <c r="W1033" s="7"/>
      <c r="Y1033" s="8"/>
    </row>
    <row r="1034" spans="1:25" x14ac:dyDescent="0.3">
      <c r="A1034" s="3" t="s">
        <v>1191</v>
      </c>
      <c r="B1034" s="5"/>
      <c r="C1034" s="5"/>
      <c r="D1034" s="6"/>
      <c r="E1034" s="7"/>
      <c r="Q1034" s="7"/>
      <c r="W1034" s="7"/>
      <c r="Y1034" s="8"/>
    </row>
    <row r="1035" spans="1:25" x14ac:dyDescent="0.3">
      <c r="A1035" s="3" t="s">
        <v>1192</v>
      </c>
      <c r="B1035" s="5"/>
      <c r="C1035" s="5"/>
      <c r="D1035" s="6"/>
      <c r="E1035" s="7"/>
      <c r="Q1035" s="7"/>
      <c r="W1035" s="7"/>
      <c r="Y1035" s="8"/>
    </row>
    <row r="1036" spans="1:25" x14ac:dyDescent="0.3">
      <c r="A1036" s="3" t="s">
        <v>1193</v>
      </c>
      <c r="B1036" s="5"/>
      <c r="C1036" s="5"/>
      <c r="D1036" s="6"/>
      <c r="E1036" s="7"/>
      <c r="Q1036" s="7"/>
      <c r="W1036" s="7"/>
      <c r="Y1036" s="8"/>
    </row>
    <row r="1037" spans="1:25" x14ac:dyDescent="0.3">
      <c r="A1037" s="3" t="s">
        <v>1194</v>
      </c>
      <c r="B1037" s="5"/>
      <c r="C1037" s="5"/>
      <c r="D1037" s="6"/>
      <c r="E1037" s="7"/>
      <c r="Q1037" s="7"/>
      <c r="W1037" s="7"/>
      <c r="Y1037" s="8"/>
    </row>
    <row r="1038" spans="1:25" x14ac:dyDescent="0.3">
      <c r="A1038" s="3" t="s">
        <v>1195</v>
      </c>
      <c r="B1038" s="5"/>
      <c r="C1038" s="5"/>
      <c r="D1038" s="6"/>
      <c r="E1038" s="7"/>
      <c r="Q1038" s="7"/>
      <c r="W1038" s="7"/>
      <c r="Y1038" s="8"/>
    </row>
    <row r="1039" spans="1:25" x14ac:dyDescent="0.3">
      <c r="A1039" s="3" t="s">
        <v>1196</v>
      </c>
      <c r="B1039" s="5"/>
      <c r="C1039" s="5"/>
      <c r="D1039" s="6"/>
      <c r="E1039" s="7"/>
      <c r="Q1039" s="7"/>
      <c r="W1039" s="7"/>
      <c r="Y1039" s="8"/>
    </row>
    <row r="1040" spans="1:25" x14ac:dyDescent="0.3">
      <c r="A1040" s="3" t="s">
        <v>1197</v>
      </c>
      <c r="B1040" s="5"/>
      <c r="C1040" s="5"/>
      <c r="D1040" s="6"/>
      <c r="E1040" s="7"/>
      <c r="Q1040" s="7"/>
      <c r="W1040" s="7"/>
      <c r="Y1040" s="8"/>
    </row>
    <row r="1041" spans="1:25" x14ac:dyDescent="0.3">
      <c r="A1041" s="3" t="s">
        <v>1198</v>
      </c>
      <c r="B1041" s="5"/>
      <c r="C1041" s="5"/>
      <c r="D1041" s="6"/>
      <c r="E1041" s="7"/>
      <c r="Q1041" s="7"/>
      <c r="W1041" s="7"/>
      <c r="Y1041" s="8"/>
    </row>
    <row r="1042" spans="1:25" x14ac:dyDescent="0.3">
      <c r="A1042" s="3" t="s">
        <v>1199</v>
      </c>
      <c r="B1042" s="5"/>
      <c r="C1042" s="5"/>
      <c r="D1042" s="6"/>
      <c r="E1042" s="7"/>
      <c r="Q1042" s="7"/>
      <c r="W1042" s="7"/>
      <c r="Y1042" s="8"/>
    </row>
    <row r="1043" spans="1:25" x14ac:dyDescent="0.3">
      <c r="A1043" s="3" t="s">
        <v>1200</v>
      </c>
      <c r="B1043" s="5"/>
      <c r="C1043" s="5"/>
      <c r="D1043" s="6"/>
      <c r="E1043" s="7"/>
      <c r="Q1043" s="7"/>
      <c r="W1043" s="7"/>
      <c r="Y1043" s="8"/>
    </row>
    <row r="1044" spans="1:25" x14ac:dyDescent="0.3">
      <c r="A1044" s="3" t="s">
        <v>1201</v>
      </c>
      <c r="B1044" s="5"/>
      <c r="C1044" s="5"/>
      <c r="D1044" s="6"/>
      <c r="E1044" s="7"/>
      <c r="Q1044" s="7"/>
      <c r="W1044" s="7"/>
      <c r="Y1044" s="8"/>
    </row>
    <row r="1045" spans="1:25" x14ac:dyDescent="0.3">
      <c r="A1045" s="3" t="s">
        <v>1202</v>
      </c>
      <c r="B1045" s="5"/>
      <c r="C1045" s="5"/>
      <c r="D1045" s="6"/>
      <c r="E1045" s="7"/>
      <c r="Q1045" s="7"/>
      <c r="W1045" s="7"/>
      <c r="Y1045" s="8"/>
    </row>
    <row r="1046" spans="1:25" x14ac:dyDescent="0.3">
      <c r="A1046" s="3" t="s">
        <v>1203</v>
      </c>
      <c r="B1046" s="5"/>
      <c r="C1046" s="5"/>
      <c r="D1046" s="6"/>
      <c r="E1046" s="7"/>
      <c r="Q1046" s="7"/>
      <c r="W1046" s="7"/>
      <c r="Y1046" s="8"/>
    </row>
    <row r="1047" spans="1:25" x14ac:dyDescent="0.3">
      <c r="A1047" s="3" t="s">
        <v>1204</v>
      </c>
      <c r="B1047" s="5"/>
      <c r="C1047" s="5"/>
      <c r="D1047" s="6"/>
      <c r="E1047" s="7"/>
      <c r="Q1047" s="7"/>
      <c r="W1047" s="7"/>
      <c r="Y1047" s="8"/>
    </row>
    <row r="1048" spans="1:25" x14ac:dyDescent="0.3">
      <c r="A1048" s="3" t="s">
        <v>1205</v>
      </c>
      <c r="B1048" s="5"/>
      <c r="C1048" s="5"/>
      <c r="D1048" s="6"/>
      <c r="E1048" s="7"/>
      <c r="Q1048" s="7"/>
      <c r="W1048" s="7"/>
      <c r="Y1048" s="8"/>
    </row>
    <row r="1049" spans="1:25" x14ac:dyDescent="0.3">
      <c r="A1049" s="3" t="s">
        <v>1206</v>
      </c>
      <c r="B1049" s="5"/>
      <c r="C1049" s="5"/>
      <c r="D1049" s="6"/>
      <c r="E1049" s="7"/>
      <c r="Q1049" s="7"/>
      <c r="W1049" s="7"/>
      <c r="Y1049" s="8"/>
    </row>
    <row r="1050" spans="1:25" x14ac:dyDescent="0.3">
      <c r="A1050" s="3" t="s">
        <v>1207</v>
      </c>
      <c r="B1050" s="5"/>
      <c r="C1050" s="5"/>
      <c r="D1050" s="6"/>
      <c r="E1050" s="7"/>
      <c r="Q1050" s="7"/>
      <c r="W1050" s="7"/>
      <c r="Y1050" s="8"/>
    </row>
    <row r="1051" spans="1:25" x14ac:dyDescent="0.3">
      <c r="A1051" s="3" t="s">
        <v>1208</v>
      </c>
      <c r="B1051" s="5"/>
      <c r="C1051" s="5"/>
      <c r="D1051" s="6"/>
      <c r="E1051" s="7"/>
      <c r="Q1051" s="7"/>
      <c r="W1051" s="7"/>
      <c r="Y1051" s="8"/>
    </row>
    <row r="1052" spans="1:25" x14ac:dyDescent="0.3">
      <c r="A1052" s="3" t="s">
        <v>1209</v>
      </c>
      <c r="B1052" s="5"/>
      <c r="C1052" s="5"/>
      <c r="D1052" s="6"/>
      <c r="E1052" s="7"/>
      <c r="Q1052" s="7"/>
      <c r="W1052" s="7"/>
      <c r="Y1052" s="8"/>
    </row>
    <row r="1053" spans="1:25" x14ac:dyDescent="0.3">
      <c r="A1053" s="3" t="s">
        <v>1210</v>
      </c>
      <c r="B1053" s="5"/>
      <c r="C1053" s="5"/>
      <c r="D1053" s="6"/>
      <c r="E1053" s="7"/>
      <c r="Q1053" s="7"/>
      <c r="W1053" s="7"/>
      <c r="Y1053" s="8"/>
    </row>
    <row r="1054" spans="1:25" x14ac:dyDescent="0.3">
      <c r="A1054" s="3" t="s">
        <v>1211</v>
      </c>
      <c r="B1054" s="5"/>
      <c r="C1054" s="5"/>
      <c r="D1054" s="6"/>
      <c r="E1054" s="7"/>
      <c r="Q1054" s="7"/>
      <c r="W1054" s="7"/>
      <c r="Y1054" s="8"/>
    </row>
    <row r="1055" spans="1:25" x14ac:dyDescent="0.3">
      <c r="A1055" s="3" t="s">
        <v>1212</v>
      </c>
      <c r="B1055" s="5"/>
      <c r="C1055" s="5"/>
      <c r="D1055" s="6"/>
      <c r="E1055" s="7"/>
      <c r="Q1055" s="7"/>
      <c r="W1055" s="7"/>
      <c r="Y1055" s="8"/>
    </row>
    <row r="1056" spans="1:25" x14ac:dyDescent="0.3">
      <c r="A1056" s="3" t="s">
        <v>1213</v>
      </c>
      <c r="B1056" s="5"/>
      <c r="C1056" s="5"/>
      <c r="D1056" s="6"/>
      <c r="E1056" s="7"/>
      <c r="Q1056" s="7"/>
      <c r="W1056" s="7"/>
      <c r="Y1056" s="8"/>
    </row>
    <row r="1057" spans="1:25" x14ac:dyDescent="0.3">
      <c r="A1057" s="3" t="s">
        <v>1214</v>
      </c>
      <c r="B1057" s="5"/>
      <c r="C1057" s="5"/>
      <c r="D1057" s="6"/>
      <c r="E1057" s="7"/>
      <c r="Q1057" s="7"/>
      <c r="W1057" s="7"/>
      <c r="Y1057" s="8"/>
    </row>
    <row r="1058" spans="1:25" x14ac:dyDescent="0.3">
      <c r="A1058" s="3" t="s">
        <v>1215</v>
      </c>
      <c r="B1058" s="5"/>
      <c r="C1058" s="5"/>
      <c r="D1058" s="6"/>
      <c r="E1058" s="7"/>
      <c r="Q1058" s="7"/>
      <c r="W1058" s="7"/>
      <c r="Y1058" s="8"/>
    </row>
    <row r="1059" spans="1:25" x14ac:dyDescent="0.3">
      <c r="A1059" s="3" t="s">
        <v>1216</v>
      </c>
      <c r="B1059" s="5"/>
      <c r="C1059" s="5"/>
      <c r="D1059" s="6"/>
      <c r="E1059" s="7"/>
      <c r="Q1059" s="7"/>
      <c r="W1059" s="7"/>
      <c r="Y1059" s="8"/>
    </row>
    <row r="1060" spans="1:25" x14ac:dyDescent="0.3">
      <c r="A1060" s="3" t="s">
        <v>1217</v>
      </c>
      <c r="B1060" s="5"/>
      <c r="C1060" s="5"/>
      <c r="D1060" s="6"/>
      <c r="E1060" s="7"/>
      <c r="Q1060" s="7"/>
      <c r="W1060" s="7"/>
      <c r="Y1060" s="8"/>
    </row>
    <row r="1061" spans="1:25" x14ac:dyDescent="0.3">
      <c r="A1061" s="3" t="s">
        <v>1218</v>
      </c>
      <c r="B1061" s="5"/>
      <c r="C1061" s="5"/>
      <c r="D1061" s="6"/>
      <c r="E1061" s="7"/>
      <c r="Q1061" s="7"/>
      <c r="W1061" s="7"/>
      <c r="Y1061" s="8"/>
    </row>
    <row r="1062" spans="1:25" x14ac:dyDescent="0.3">
      <c r="A1062" s="3" t="s">
        <v>1219</v>
      </c>
      <c r="B1062" s="5"/>
      <c r="C1062" s="5"/>
      <c r="D1062" s="6"/>
      <c r="E1062" s="7"/>
      <c r="Q1062" s="7"/>
      <c r="W1062" s="7"/>
      <c r="Y1062" s="8"/>
    </row>
    <row r="1063" spans="1:25" x14ac:dyDescent="0.3">
      <c r="A1063" s="3" t="s">
        <v>1220</v>
      </c>
      <c r="B1063" s="5"/>
      <c r="C1063" s="5"/>
      <c r="D1063" s="6"/>
      <c r="E1063" s="7"/>
      <c r="Q1063" s="7"/>
      <c r="W1063" s="7"/>
      <c r="Y1063" s="8"/>
    </row>
    <row r="1064" spans="1:25" x14ac:dyDescent="0.3">
      <c r="A1064" s="3" t="s">
        <v>1221</v>
      </c>
      <c r="B1064" s="5"/>
      <c r="C1064" s="5"/>
      <c r="D1064" s="6"/>
      <c r="E1064" s="7"/>
      <c r="Q1064" s="7"/>
      <c r="W1064" s="7"/>
      <c r="Y1064" s="8"/>
    </row>
    <row r="1065" spans="1:25" x14ac:dyDescent="0.3">
      <c r="A1065" s="3" t="s">
        <v>1222</v>
      </c>
      <c r="B1065" s="5"/>
      <c r="C1065" s="5"/>
      <c r="D1065" s="6"/>
      <c r="E1065" s="7"/>
      <c r="Q1065" s="7"/>
      <c r="W1065" s="7"/>
      <c r="Y1065" s="8"/>
    </row>
    <row r="1066" spans="1:25" x14ac:dyDescent="0.3">
      <c r="A1066" s="3" t="s">
        <v>1223</v>
      </c>
      <c r="B1066" s="5"/>
      <c r="C1066" s="5"/>
      <c r="D1066" s="6"/>
      <c r="E1066" s="7"/>
      <c r="Q1066" s="7"/>
      <c r="W1066" s="7"/>
      <c r="Y1066" s="8"/>
    </row>
    <row r="1067" spans="1:25" x14ac:dyDescent="0.3">
      <c r="A1067" s="3" t="s">
        <v>1224</v>
      </c>
      <c r="B1067" s="5"/>
      <c r="C1067" s="5"/>
      <c r="D1067" s="6"/>
      <c r="E1067" s="7"/>
      <c r="Q1067" s="7"/>
      <c r="W1067" s="7"/>
      <c r="Y1067" s="8"/>
    </row>
    <row r="1068" spans="1:25" x14ac:dyDescent="0.3">
      <c r="A1068" s="3" t="s">
        <v>1225</v>
      </c>
      <c r="B1068" s="5"/>
      <c r="C1068" s="5"/>
      <c r="D1068" s="6"/>
      <c r="E1068" s="7"/>
      <c r="Q1068" s="7"/>
      <c r="W1068" s="7"/>
      <c r="Y1068" s="8"/>
    </row>
    <row r="1069" spans="1:25" x14ac:dyDescent="0.3">
      <c r="A1069" s="3" t="s">
        <v>1226</v>
      </c>
      <c r="B1069" s="5"/>
      <c r="C1069" s="5"/>
      <c r="D1069" s="6"/>
      <c r="E1069" s="7"/>
      <c r="Q1069" s="7"/>
      <c r="W1069" s="7"/>
      <c r="Y1069" s="8"/>
    </row>
    <row r="1070" spans="1:25" x14ac:dyDescent="0.3">
      <c r="A1070" s="3" t="s">
        <v>1227</v>
      </c>
      <c r="B1070" s="5"/>
      <c r="C1070" s="5"/>
      <c r="D1070" s="6"/>
      <c r="E1070" s="7"/>
      <c r="Q1070" s="7"/>
      <c r="W1070" s="7"/>
      <c r="Y1070" s="8"/>
    </row>
    <row r="1071" spans="1:25" x14ac:dyDescent="0.3">
      <c r="A1071" s="3" t="s">
        <v>1228</v>
      </c>
      <c r="B1071" s="5"/>
      <c r="C1071" s="5"/>
      <c r="D1071" s="6"/>
      <c r="E1071" s="7"/>
      <c r="Q1071" s="7"/>
      <c r="W1071" s="7"/>
      <c r="Y1071" s="8"/>
    </row>
    <row r="1072" spans="1:25" x14ac:dyDescent="0.3">
      <c r="A1072" s="3" t="s">
        <v>1229</v>
      </c>
      <c r="B1072" s="5"/>
      <c r="C1072" s="5"/>
      <c r="D1072" s="6"/>
      <c r="E1072" s="7"/>
      <c r="Q1072" s="7"/>
      <c r="W1072" s="7"/>
      <c r="Y1072" s="8"/>
    </row>
    <row r="1073" spans="1:25" x14ac:dyDescent="0.3">
      <c r="A1073" s="3" t="s">
        <v>1230</v>
      </c>
      <c r="B1073" s="5"/>
      <c r="C1073" s="5"/>
      <c r="D1073" s="6"/>
      <c r="E1073" s="7"/>
      <c r="Q1073" s="7"/>
      <c r="W1073" s="7"/>
      <c r="Y1073" s="8"/>
    </row>
    <row r="1074" spans="1:25" x14ac:dyDescent="0.3">
      <c r="A1074" s="3" t="s">
        <v>1231</v>
      </c>
      <c r="B1074" s="5"/>
      <c r="C1074" s="5"/>
      <c r="D1074" s="6"/>
      <c r="E1074" s="7"/>
      <c r="Q1074" s="7"/>
      <c r="W1074" s="7"/>
      <c r="Y1074" s="8"/>
    </row>
    <row r="1075" spans="1:25" x14ac:dyDescent="0.3">
      <c r="A1075" s="3" t="s">
        <v>1232</v>
      </c>
      <c r="B1075" s="5"/>
      <c r="C1075" s="5"/>
      <c r="D1075" s="6"/>
      <c r="E1075" s="7"/>
      <c r="Q1075" s="7"/>
      <c r="W1075" s="7"/>
      <c r="Y1075" s="8"/>
    </row>
    <row r="1076" spans="1:25" x14ac:dyDescent="0.3">
      <c r="A1076" s="3" t="s">
        <v>1233</v>
      </c>
      <c r="B1076" s="5"/>
      <c r="C1076" s="5"/>
      <c r="D1076" s="6"/>
      <c r="E1076" s="7"/>
      <c r="Q1076" s="7"/>
      <c r="W1076" s="7"/>
      <c r="Y1076" s="8"/>
    </row>
    <row r="1077" spans="1:25" x14ac:dyDescent="0.3">
      <c r="A1077" s="3" t="s">
        <v>1234</v>
      </c>
      <c r="B1077" s="5"/>
      <c r="C1077" s="5"/>
      <c r="D1077" s="6"/>
      <c r="E1077" s="7"/>
      <c r="Q1077" s="7"/>
      <c r="W1077" s="7"/>
      <c r="Y1077" s="8"/>
    </row>
    <row r="1078" spans="1:25" x14ac:dyDescent="0.3">
      <c r="A1078" s="3" t="s">
        <v>1235</v>
      </c>
      <c r="B1078" s="5"/>
      <c r="C1078" s="5"/>
      <c r="D1078" s="6"/>
      <c r="E1078" s="7"/>
      <c r="Q1078" s="7"/>
      <c r="W1078" s="7"/>
      <c r="Y1078" s="8"/>
    </row>
    <row r="1079" spans="1:25" x14ac:dyDescent="0.3">
      <c r="A1079" s="3" t="s">
        <v>1236</v>
      </c>
      <c r="B1079" s="5"/>
      <c r="C1079" s="5"/>
      <c r="D1079" s="6"/>
      <c r="E1079" s="7"/>
      <c r="Q1079" s="7"/>
      <c r="W1079" s="7"/>
      <c r="Y1079" s="8"/>
    </row>
    <row r="1080" spans="1:25" x14ac:dyDescent="0.3">
      <c r="A1080" s="3" t="s">
        <v>1237</v>
      </c>
      <c r="B1080" s="5"/>
      <c r="C1080" s="5"/>
      <c r="D1080" s="6"/>
      <c r="E1080" s="7"/>
      <c r="Q1080" s="7"/>
      <c r="W1080" s="7"/>
      <c r="Y1080" s="8"/>
    </row>
    <row r="1081" spans="1:25" x14ac:dyDescent="0.3">
      <c r="A1081" s="3" t="s">
        <v>1238</v>
      </c>
      <c r="B1081" s="5"/>
      <c r="C1081" s="5"/>
      <c r="D1081" s="6"/>
      <c r="E1081" s="7"/>
      <c r="Q1081" s="7"/>
      <c r="W1081" s="7"/>
      <c r="Y1081" s="8"/>
    </row>
    <row r="1082" spans="1:25" x14ac:dyDescent="0.3">
      <c r="A1082" s="3" t="s">
        <v>1239</v>
      </c>
      <c r="B1082" s="5"/>
      <c r="C1082" s="5"/>
      <c r="D1082" s="6"/>
      <c r="E1082" s="7"/>
      <c r="Q1082" s="7"/>
      <c r="W1082" s="7"/>
      <c r="Y1082" s="8"/>
    </row>
    <row r="1083" spans="1:25" x14ac:dyDescent="0.3">
      <c r="A1083" s="3" t="s">
        <v>1240</v>
      </c>
      <c r="B1083" s="5"/>
      <c r="C1083" s="5"/>
      <c r="D1083" s="6"/>
      <c r="E1083" s="7"/>
      <c r="Q1083" s="7"/>
      <c r="W1083" s="7"/>
      <c r="Y1083" s="8"/>
    </row>
    <row r="1084" spans="1:25" x14ac:dyDescent="0.3">
      <c r="A1084" s="3" t="s">
        <v>1241</v>
      </c>
      <c r="B1084" s="5"/>
      <c r="C1084" s="5"/>
      <c r="D1084" s="6"/>
      <c r="E1084" s="7"/>
      <c r="Q1084" s="7"/>
      <c r="W1084" s="7"/>
      <c r="Y1084" s="8"/>
    </row>
    <row r="1085" spans="1:25" x14ac:dyDescent="0.3">
      <c r="A1085" s="3" t="s">
        <v>1242</v>
      </c>
      <c r="B1085" s="5"/>
      <c r="C1085" s="5"/>
      <c r="D1085" s="6"/>
      <c r="E1085" s="7"/>
      <c r="Q1085" s="7"/>
      <c r="W1085" s="7"/>
      <c r="Y1085" s="8"/>
    </row>
    <row r="1086" spans="1:25" x14ac:dyDescent="0.3">
      <c r="A1086" s="3" t="s">
        <v>1243</v>
      </c>
      <c r="B1086" s="5"/>
      <c r="C1086" s="5"/>
      <c r="D1086" s="6"/>
      <c r="E1086" s="7"/>
      <c r="Q1086" s="7"/>
      <c r="W1086" s="7"/>
      <c r="Y1086" s="8"/>
    </row>
    <row r="1087" spans="1:25" x14ac:dyDescent="0.3">
      <c r="A1087" s="3" t="s">
        <v>1244</v>
      </c>
      <c r="B1087" s="5"/>
      <c r="C1087" s="5"/>
      <c r="D1087" s="6"/>
      <c r="E1087" s="7"/>
      <c r="Q1087" s="7"/>
      <c r="W1087" s="7"/>
      <c r="Y1087" s="8"/>
    </row>
    <row r="1088" spans="1:25" x14ac:dyDescent="0.3">
      <c r="A1088" s="3" t="s">
        <v>1245</v>
      </c>
      <c r="B1088" s="5"/>
      <c r="C1088" s="5"/>
      <c r="D1088" s="6"/>
      <c r="E1088" s="7"/>
      <c r="Q1088" s="7"/>
      <c r="W1088" s="7"/>
      <c r="Y1088" s="8"/>
    </row>
    <row r="1089" spans="1:25" x14ac:dyDescent="0.3">
      <c r="A1089" s="3" t="s">
        <v>1246</v>
      </c>
      <c r="B1089" s="5"/>
      <c r="C1089" s="5"/>
      <c r="D1089" s="6"/>
      <c r="E1089" s="7"/>
      <c r="Q1089" s="7"/>
      <c r="W1089" s="7"/>
      <c r="Y1089" s="8"/>
    </row>
    <row r="1090" spans="1:25" x14ac:dyDescent="0.3">
      <c r="A1090" s="3" t="s">
        <v>1247</v>
      </c>
      <c r="B1090" s="5"/>
      <c r="C1090" s="5"/>
      <c r="D1090" s="6"/>
      <c r="E1090" s="7"/>
      <c r="Q1090" s="7"/>
      <c r="W1090" s="7"/>
      <c r="Y1090" s="8"/>
    </row>
    <row r="1091" spans="1:25" x14ac:dyDescent="0.3">
      <c r="A1091" s="3" t="s">
        <v>1248</v>
      </c>
      <c r="B1091" s="5"/>
      <c r="C1091" s="5"/>
      <c r="D1091" s="6"/>
      <c r="E1091" s="7"/>
      <c r="Q1091" s="7"/>
      <c r="W1091" s="7"/>
      <c r="Y1091" s="8"/>
    </row>
    <row r="1092" spans="1:25" x14ac:dyDescent="0.3">
      <c r="A1092" s="3" t="s">
        <v>1249</v>
      </c>
      <c r="B1092" s="5"/>
      <c r="C1092" s="5"/>
      <c r="D1092" s="6"/>
      <c r="E1092" s="7"/>
      <c r="Q1092" s="7"/>
      <c r="W1092" s="7"/>
      <c r="Y1092" s="8"/>
    </row>
    <row r="1093" spans="1:25" x14ac:dyDescent="0.3">
      <c r="A1093" s="3" t="s">
        <v>1250</v>
      </c>
      <c r="B1093" s="5"/>
      <c r="C1093" s="5"/>
      <c r="D1093" s="6"/>
      <c r="E1093" s="7"/>
      <c r="Q1093" s="7"/>
      <c r="W1093" s="7"/>
      <c r="Y1093" s="8"/>
    </row>
    <row r="1094" spans="1:25" x14ac:dyDescent="0.3">
      <c r="A1094" s="3" t="s">
        <v>1251</v>
      </c>
      <c r="B1094" s="5"/>
      <c r="C1094" s="5"/>
      <c r="D1094" s="6"/>
      <c r="E1094" s="7"/>
      <c r="Q1094" s="7"/>
      <c r="W1094" s="7"/>
      <c r="Y1094" s="8"/>
    </row>
    <row r="1095" spans="1:25" x14ac:dyDescent="0.3">
      <c r="A1095" s="3" t="s">
        <v>1252</v>
      </c>
      <c r="B1095" s="5"/>
      <c r="C1095" s="5"/>
      <c r="D1095" s="6"/>
      <c r="E1095" s="7"/>
      <c r="Q1095" s="7"/>
      <c r="W1095" s="7"/>
      <c r="Y1095" s="8"/>
    </row>
    <row r="1096" spans="1:25" x14ac:dyDescent="0.3">
      <c r="A1096" s="3" t="s">
        <v>1253</v>
      </c>
      <c r="B1096" s="5"/>
      <c r="C1096" s="5"/>
      <c r="D1096" s="6"/>
      <c r="E1096" s="7"/>
      <c r="Q1096" s="7"/>
      <c r="W1096" s="7"/>
      <c r="Y1096" s="8"/>
    </row>
    <row r="1097" spans="1:25" x14ac:dyDescent="0.3">
      <c r="A1097" s="3" t="s">
        <v>1254</v>
      </c>
      <c r="B1097" s="5"/>
      <c r="C1097" s="5"/>
      <c r="D1097" s="6"/>
      <c r="E1097" s="7"/>
      <c r="Q1097" s="7"/>
      <c r="W1097" s="7"/>
      <c r="Y1097" s="8"/>
    </row>
    <row r="1098" spans="1:25" x14ac:dyDescent="0.3">
      <c r="A1098" s="3" t="s">
        <v>1255</v>
      </c>
      <c r="B1098" s="5"/>
      <c r="C1098" s="5"/>
      <c r="D1098" s="6"/>
      <c r="E1098" s="7"/>
      <c r="Q1098" s="7"/>
      <c r="W1098" s="7"/>
      <c r="Y1098" s="8"/>
    </row>
    <row r="1099" spans="1:25" x14ac:dyDescent="0.3">
      <c r="A1099" s="3" t="s">
        <v>1256</v>
      </c>
      <c r="B1099" s="5"/>
      <c r="C1099" s="5"/>
      <c r="D1099" s="6"/>
      <c r="E1099" s="7"/>
      <c r="Q1099" s="7"/>
      <c r="W1099" s="7"/>
      <c r="Y1099" s="8"/>
    </row>
    <row r="1100" spans="1:25" x14ac:dyDescent="0.3">
      <c r="A1100" s="3" t="s">
        <v>1257</v>
      </c>
      <c r="B1100" s="5"/>
      <c r="C1100" s="5"/>
      <c r="D1100" s="6"/>
      <c r="E1100" s="7"/>
      <c r="Q1100" s="7"/>
      <c r="W1100" s="7"/>
      <c r="Y1100" s="8"/>
    </row>
    <row r="1101" spans="1:25" x14ac:dyDescent="0.3">
      <c r="A1101" s="3" t="s">
        <v>1258</v>
      </c>
      <c r="B1101" s="5"/>
      <c r="C1101" s="5"/>
      <c r="D1101" s="6"/>
      <c r="E1101" s="7"/>
      <c r="Q1101" s="7"/>
      <c r="W1101" s="7"/>
      <c r="Y1101" s="8"/>
    </row>
    <row r="1102" spans="1:25" x14ac:dyDescent="0.3">
      <c r="A1102" s="3" t="s">
        <v>1259</v>
      </c>
      <c r="B1102" s="5"/>
      <c r="C1102" s="5"/>
      <c r="D1102" s="6"/>
      <c r="E1102" s="7"/>
      <c r="Q1102" s="7"/>
      <c r="W1102" s="7"/>
      <c r="Y1102" s="8"/>
    </row>
    <row r="1103" spans="1:25" x14ac:dyDescent="0.3">
      <c r="A1103" s="3" t="s">
        <v>1260</v>
      </c>
      <c r="B1103" s="5"/>
      <c r="C1103" s="5"/>
      <c r="D1103" s="6"/>
      <c r="E1103" s="7"/>
      <c r="Q1103" s="7"/>
      <c r="W1103" s="7"/>
      <c r="Y1103" s="8"/>
    </row>
    <row r="1104" spans="1:25" x14ac:dyDescent="0.3">
      <c r="A1104" s="3" t="s">
        <v>1261</v>
      </c>
      <c r="B1104" s="5"/>
      <c r="C1104" s="5"/>
      <c r="D1104" s="6"/>
      <c r="E1104" s="7"/>
      <c r="Q1104" s="7"/>
      <c r="W1104" s="7"/>
      <c r="Y1104" s="8"/>
    </row>
    <row r="1105" spans="1:25" x14ac:dyDescent="0.3">
      <c r="A1105" s="3" t="s">
        <v>1262</v>
      </c>
      <c r="B1105" s="5"/>
      <c r="C1105" s="5"/>
      <c r="D1105" s="6"/>
      <c r="E1105" s="7"/>
      <c r="Q1105" s="7"/>
      <c r="W1105" s="7"/>
      <c r="Y1105" s="8"/>
    </row>
    <row r="1106" spans="1:25" x14ac:dyDescent="0.3">
      <c r="A1106" s="3" t="s">
        <v>1263</v>
      </c>
      <c r="B1106" s="5"/>
      <c r="C1106" s="5"/>
      <c r="D1106" s="6"/>
      <c r="E1106" s="7"/>
      <c r="Q1106" s="7"/>
      <c r="W1106" s="7"/>
      <c r="Y1106" s="8"/>
    </row>
    <row r="1107" spans="1:25" x14ac:dyDescent="0.3">
      <c r="A1107" s="3" t="s">
        <v>1264</v>
      </c>
      <c r="B1107" s="5"/>
      <c r="C1107" s="5"/>
      <c r="D1107" s="6"/>
      <c r="E1107" s="7"/>
      <c r="Q1107" s="7"/>
      <c r="W1107" s="7"/>
      <c r="Y1107" s="8"/>
    </row>
    <row r="1108" spans="1:25" x14ac:dyDescent="0.3">
      <c r="A1108" s="3" t="s">
        <v>1265</v>
      </c>
      <c r="B1108" s="5"/>
      <c r="C1108" s="5"/>
      <c r="D1108" s="6"/>
      <c r="E1108" s="7"/>
      <c r="Q1108" s="7"/>
      <c r="W1108" s="7"/>
      <c r="Y1108" s="8"/>
    </row>
    <row r="1109" spans="1:25" x14ac:dyDescent="0.3">
      <c r="A1109" s="3" t="s">
        <v>1266</v>
      </c>
      <c r="B1109" s="5"/>
      <c r="C1109" s="5"/>
      <c r="D1109" s="6"/>
      <c r="E1109" s="7"/>
      <c r="Q1109" s="7"/>
      <c r="W1109" s="7"/>
      <c r="Y1109" s="8"/>
    </row>
    <row r="1110" spans="1:25" x14ac:dyDescent="0.3">
      <c r="A1110" s="3" t="s">
        <v>1267</v>
      </c>
      <c r="B1110" s="5"/>
      <c r="C1110" s="5"/>
      <c r="D1110" s="6"/>
      <c r="E1110" s="7"/>
      <c r="Q1110" s="7"/>
      <c r="W1110" s="7"/>
      <c r="Y1110" s="8"/>
    </row>
    <row r="1111" spans="1:25" x14ac:dyDescent="0.3">
      <c r="A1111" s="3" t="s">
        <v>1268</v>
      </c>
      <c r="B1111" s="5"/>
      <c r="C1111" s="5"/>
      <c r="D1111" s="6"/>
      <c r="E1111" s="7"/>
      <c r="Q1111" s="7"/>
      <c r="W1111" s="7"/>
      <c r="Y1111" s="8"/>
    </row>
    <row r="1112" spans="1:25" x14ac:dyDescent="0.3">
      <c r="A1112" s="3" t="s">
        <v>1269</v>
      </c>
      <c r="B1112" s="5"/>
      <c r="C1112" s="5"/>
      <c r="D1112" s="6"/>
      <c r="E1112" s="7"/>
      <c r="Q1112" s="7"/>
      <c r="W1112" s="7"/>
      <c r="Y1112" s="8"/>
    </row>
    <row r="1113" spans="1:25" x14ac:dyDescent="0.3">
      <c r="A1113" s="3" t="s">
        <v>1270</v>
      </c>
      <c r="B1113" s="5"/>
      <c r="C1113" s="5"/>
      <c r="D1113" s="6"/>
      <c r="E1113" s="7"/>
      <c r="Q1113" s="7"/>
      <c r="W1113" s="7"/>
      <c r="Y1113" s="8"/>
    </row>
    <row r="1114" spans="1:25" x14ac:dyDescent="0.3">
      <c r="A1114" s="3" t="s">
        <v>1271</v>
      </c>
      <c r="B1114" s="5"/>
      <c r="C1114" s="5"/>
      <c r="D1114" s="6"/>
      <c r="E1114" s="7"/>
      <c r="Q1114" s="7"/>
      <c r="W1114" s="7"/>
      <c r="Y1114" s="8"/>
    </row>
    <row r="1115" spans="1:25" x14ac:dyDescent="0.3">
      <c r="A1115" s="3" t="s">
        <v>1272</v>
      </c>
      <c r="B1115" s="5"/>
      <c r="C1115" s="5"/>
      <c r="D1115" s="6"/>
      <c r="E1115" s="7"/>
      <c r="Q1115" s="7"/>
      <c r="W1115" s="7"/>
      <c r="Y1115" s="8"/>
    </row>
    <row r="1116" spans="1:25" x14ac:dyDescent="0.3">
      <c r="A1116" s="3" t="s">
        <v>1273</v>
      </c>
      <c r="B1116" s="5"/>
      <c r="C1116" s="5"/>
      <c r="D1116" s="6"/>
      <c r="E1116" s="7"/>
      <c r="Q1116" s="7"/>
      <c r="W1116" s="7"/>
      <c r="Y1116" s="8"/>
    </row>
    <row r="1117" spans="1:25" x14ac:dyDescent="0.3">
      <c r="A1117" s="3" t="s">
        <v>1274</v>
      </c>
      <c r="B1117" s="5"/>
      <c r="C1117" s="5"/>
      <c r="D1117" s="6"/>
      <c r="E1117" s="7"/>
      <c r="Q1117" s="7"/>
      <c r="W1117" s="7"/>
      <c r="Y1117" s="8"/>
    </row>
    <row r="1118" spans="1:25" x14ac:dyDescent="0.3">
      <c r="A1118" s="3" t="s">
        <v>1275</v>
      </c>
      <c r="B1118" s="5"/>
      <c r="C1118" s="5"/>
      <c r="D1118" s="6"/>
      <c r="E1118" s="7"/>
      <c r="Q1118" s="7"/>
      <c r="W1118" s="7"/>
      <c r="Y1118" s="8"/>
    </row>
    <row r="1119" spans="1:25" x14ac:dyDescent="0.3">
      <c r="A1119" s="3" t="s">
        <v>1276</v>
      </c>
      <c r="B1119" s="5"/>
      <c r="C1119" s="5"/>
      <c r="D1119" s="6"/>
      <c r="E1119" s="7"/>
      <c r="Q1119" s="7"/>
      <c r="W1119" s="7"/>
      <c r="Y1119" s="8"/>
    </row>
    <row r="1120" spans="1:25" x14ac:dyDescent="0.3">
      <c r="A1120" s="3" t="s">
        <v>1277</v>
      </c>
      <c r="B1120" s="5"/>
      <c r="C1120" s="5"/>
      <c r="D1120" s="6"/>
      <c r="E1120" s="7"/>
      <c r="Q1120" s="7"/>
      <c r="W1120" s="7"/>
      <c r="Y1120" s="8"/>
    </row>
    <row r="1121" spans="1:25" x14ac:dyDescent="0.3">
      <c r="A1121" s="3" t="s">
        <v>1278</v>
      </c>
      <c r="B1121" s="5"/>
      <c r="C1121" s="5"/>
      <c r="D1121" s="6"/>
      <c r="E1121" s="7"/>
      <c r="Q1121" s="7"/>
      <c r="W1121" s="7"/>
      <c r="Y1121" s="8"/>
    </row>
    <row r="1122" spans="1:25" x14ac:dyDescent="0.3">
      <c r="A1122" s="3" t="s">
        <v>1279</v>
      </c>
      <c r="B1122" s="5"/>
      <c r="C1122" s="5"/>
      <c r="D1122" s="6"/>
      <c r="E1122" s="7"/>
      <c r="Q1122" s="7"/>
      <c r="W1122" s="7"/>
      <c r="Y1122" s="8"/>
    </row>
    <row r="1123" spans="1:25" x14ac:dyDescent="0.3">
      <c r="A1123" s="3" t="s">
        <v>1280</v>
      </c>
      <c r="B1123" s="5"/>
      <c r="C1123" s="5"/>
      <c r="D1123" s="6"/>
      <c r="E1123" s="7"/>
      <c r="Q1123" s="7"/>
      <c r="W1123" s="7"/>
      <c r="Y1123" s="8"/>
    </row>
    <row r="1124" spans="1:25" x14ac:dyDescent="0.3">
      <c r="A1124" s="3" t="s">
        <v>1281</v>
      </c>
      <c r="B1124" s="5"/>
      <c r="C1124" s="5"/>
      <c r="D1124" s="6"/>
      <c r="E1124" s="7"/>
      <c r="Q1124" s="7"/>
      <c r="W1124" s="7"/>
      <c r="Y1124" s="8"/>
    </row>
    <row r="1125" spans="1:25" x14ac:dyDescent="0.3">
      <c r="A1125" s="3" t="s">
        <v>1282</v>
      </c>
      <c r="B1125" s="5"/>
      <c r="C1125" s="5"/>
      <c r="D1125" s="6"/>
      <c r="E1125" s="7"/>
      <c r="Q1125" s="7"/>
      <c r="W1125" s="7"/>
      <c r="Y1125" s="8"/>
    </row>
    <row r="1126" spans="1:25" x14ac:dyDescent="0.3">
      <c r="A1126" s="3" t="s">
        <v>1283</v>
      </c>
      <c r="B1126" s="5"/>
      <c r="C1126" s="5"/>
      <c r="D1126" s="6"/>
      <c r="E1126" s="7"/>
      <c r="Q1126" s="7"/>
      <c r="W1126" s="7"/>
      <c r="Y1126" s="8"/>
    </row>
    <row r="1127" spans="1:25" x14ac:dyDescent="0.3">
      <c r="A1127" s="3" t="s">
        <v>1284</v>
      </c>
      <c r="B1127" s="5"/>
      <c r="C1127" s="5"/>
      <c r="D1127" s="6"/>
      <c r="E1127" s="7"/>
      <c r="Q1127" s="7"/>
      <c r="W1127" s="7"/>
      <c r="Y1127" s="8"/>
    </row>
    <row r="1128" spans="1:25" x14ac:dyDescent="0.3">
      <c r="A1128" s="3" t="s">
        <v>1285</v>
      </c>
      <c r="B1128" s="5"/>
      <c r="C1128" s="5"/>
      <c r="D1128" s="6"/>
      <c r="E1128" s="7"/>
      <c r="Q1128" s="7"/>
      <c r="W1128" s="7"/>
      <c r="Y1128" s="8"/>
    </row>
    <row r="1129" spans="1:25" x14ac:dyDescent="0.3">
      <c r="A1129" s="3" t="s">
        <v>1286</v>
      </c>
      <c r="B1129" s="5"/>
      <c r="C1129" s="5"/>
      <c r="D1129" s="6"/>
      <c r="E1129" s="7"/>
      <c r="Q1129" s="7"/>
      <c r="W1129" s="7"/>
      <c r="Y1129" s="8"/>
    </row>
    <row r="1130" spans="1:25" x14ac:dyDescent="0.3">
      <c r="A1130" s="3" t="s">
        <v>1287</v>
      </c>
      <c r="B1130" s="5"/>
      <c r="C1130" s="5"/>
      <c r="D1130" s="6"/>
      <c r="E1130" s="7"/>
      <c r="Q1130" s="7"/>
      <c r="W1130" s="7"/>
      <c r="Y1130" s="8"/>
    </row>
    <row r="1131" spans="1:25" x14ac:dyDescent="0.3">
      <c r="A1131" s="3" t="s">
        <v>1288</v>
      </c>
      <c r="B1131" s="5"/>
      <c r="C1131" s="5"/>
      <c r="D1131" s="6"/>
      <c r="E1131" s="7"/>
      <c r="Q1131" s="7"/>
      <c r="W1131" s="7"/>
      <c r="Y1131" s="8"/>
    </row>
    <row r="1132" spans="1:25" x14ac:dyDescent="0.3">
      <c r="A1132" s="3" t="s">
        <v>1289</v>
      </c>
      <c r="B1132" s="5"/>
      <c r="C1132" s="5"/>
      <c r="D1132" s="6"/>
      <c r="E1132" s="7"/>
      <c r="Q1132" s="7"/>
      <c r="W1132" s="7"/>
      <c r="Y1132" s="8"/>
    </row>
    <row r="1133" spans="1:25" x14ac:dyDescent="0.3">
      <c r="A1133" s="3" t="s">
        <v>1290</v>
      </c>
      <c r="B1133" s="5"/>
      <c r="C1133" s="5"/>
      <c r="D1133" s="6"/>
      <c r="E1133" s="7"/>
      <c r="Q1133" s="7"/>
      <c r="W1133" s="7"/>
      <c r="Y1133" s="8"/>
    </row>
    <row r="1134" spans="1:25" x14ac:dyDescent="0.3">
      <c r="A1134" s="3" t="s">
        <v>1291</v>
      </c>
      <c r="B1134" s="5"/>
      <c r="C1134" s="5"/>
      <c r="D1134" s="6"/>
      <c r="E1134" s="7"/>
      <c r="Q1134" s="7"/>
      <c r="W1134" s="7"/>
      <c r="Y1134" s="8"/>
    </row>
    <row r="1135" spans="1:25" x14ac:dyDescent="0.3">
      <c r="A1135" s="3" t="s">
        <v>1292</v>
      </c>
      <c r="B1135" s="5"/>
      <c r="C1135" s="5"/>
      <c r="D1135" s="6"/>
      <c r="E1135" s="7"/>
      <c r="Q1135" s="7"/>
      <c r="W1135" s="7"/>
      <c r="Y1135" s="8"/>
    </row>
    <row r="1136" spans="1:25" x14ac:dyDescent="0.3">
      <c r="A1136" s="3" t="s">
        <v>1293</v>
      </c>
      <c r="B1136" s="5"/>
      <c r="C1136" s="5"/>
      <c r="D1136" s="6"/>
      <c r="E1136" s="7"/>
      <c r="Q1136" s="7"/>
      <c r="W1136" s="7"/>
      <c r="Y1136" s="8"/>
    </row>
    <row r="1137" spans="1:25" x14ac:dyDescent="0.3">
      <c r="A1137" s="3" t="s">
        <v>1294</v>
      </c>
      <c r="B1137" s="5"/>
      <c r="C1137" s="5"/>
      <c r="D1137" s="6"/>
      <c r="E1137" s="7"/>
      <c r="Q1137" s="7"/>
      <c r="W1137" s="7"/>
      <c r="Y1137" s="8"/>
    </row>
    <row r="1138" spans="1:25" x14ac:dyDescent="0.3">
      <c r="A1138" s="3" t="s">
        <v>1295</v>
      </c>
      <c r="B1138" s="5"/>
      <c r="C1138" s="5"/>
      <c r="D1138" s="6"/>
      <c r="E1138" s="7"/>
      <c r="Q1138" s="7"/>
      <c r="W1138" s="7"/>
      <c r="Y1138" s="8"/>
    </row>
    <row r="1139" spans="1:25" x14ac:dyDescent="0.3">
      <c r="A1139" s="3" t="s">
        <v>1296</v>
      </c>
      <c r="B1139" s="5"/>
      <c r="C1139" s="5"/>
      <c r="D1139" s="6"/>
      <c r="E1139" s="7"/>
      <c r="Q1139" s="7"/>
      <c r="W1139" s="7"/>
      <c r="Y1139" s="8"/>
    </row>
    <row r="1140" spans="1:25" x14ac:dyDescent="0.3">
      <c r="A1140" s="3" t="s">
        <v>1297</v>
      </c>
      <c r="B1140" s="5"/>
      <c r="C1140" s="5"/>
      <c r="D1140" s="6"/>
      <c r="E1140" s="7"/>
      <c r="Q1140" s="7"/>
      <c r="W1140" s="7"/>
      <c r="Y1140" s="8"/>
    </row>
    <row r="1141" spans="1:25" x14ac:dyDescent="0.3">
      <c r="A1141" s="3" t="s">
        <v>1298</v>
      </c>
      <c r="B1141" s="5"/>
      <c r="C1141" s="5"/>
      <c r="D1141" s="6"/>
      <c r="E1141" s="7"/>
      <c r="Q1141" s="7"/>
      <c r="W1141" s="7"/>
      <c r="Y1141" s="8"/>
    </row>
    <row r="1142" spans="1:25" x14ac:dyDescent="0.3">
      <c r="A1142" s="3" t="s">
        <v>1299</v>
      </c>
      <c r="B1142" s="5"/>
      <c r="C1142" s="5"/>
      <c r="D1142" s="6"/>
      <c r="E1142" s="7"/>
      <c r="Q1142" s="7"/>
      <c r="W1142" s="7"/>
      <c r="Y1142" s="8"/>
    </row>
    <row r="1143" spans="1:25" x14ac:dyDescent="0.3">
      <c r="A1143" s="3" t="s">
        <v>1300</v>
      </c>
      <c r="B1143" s="5"/>
      <c r="C1143" s="5"/>
      <c r="D1143" s="6"/>
      <c r="E1143" s="7"/>
      <c r="Q1143" s="7"/>
      <c r="W1143" s="7"/>
      <c r="Y1143" s="8"/>
    </row>
    <row r="1144" spans="1:25" x14ac:dyDescent="0.3">
      <c r="A1144" s="3" t="s">
        <v>1301</v>
      </c>
      <c r="B1144" s="5"/>
      <c r="C1144" s="5"/>
      <c r="D1144" s="6"/>
      <c r="E1144" s="7"/>
      <c r="Q1144" s="7"/>
      <c r="W1144" s="7"/>
      <c r="Y1144" s="8"/>
    </row>
    <row r="1145" spans="1:25" x14ac:dyDescent="0.3">
      <c r="A1145" s="3" t="s">
        <v>1302</v>
      </c>
      <c r="B1145" s="5"/>
      <c r="C1145" s="5"/>
      <c r="D1145" s="6"/>
      <c r="E1145" s="7"/>
      <c r="Q1145" s="7"/>
      <c r="W1145" s="7"/>
      <c r="Y1145" s="8"/>
    </row>
    <row r="1146" spans="1:25" x14ac:dyDescent="0.3">
      <c r="A1146" s="3" t="s">
        <v>1303</v>
      </c>
      <c r="B1146" s="5"/>
      <c r="C1146" s="5"/>
      <c r="D1146" s="6"/>
      <c r="E1146" s="7"/>
      <c r="Q1146" s="7"/>
      <c r="W1146" s="7"/>
      <c r="Y1146" s="8"/>
    </row>
    <row r="1147" spans="1:25" x14ac:dyDescent="0.3">
      <c r="A1147" s="3" t="s">
        <v>1304</v>
      </c>
      <c r="B1147" s="5"/>
      <c r="C1147" s="5"/>
      <c r="D1147" s="6"/>
      <c r="E1147" s="7"/>
      <c r="Q1147" s="7"/>
      <c r="W1147" s="7"/>
      <c r="Y1147" s="8"/>
    </row>
    <row r="1148" spans="1:25" x14ac:dyDescent="0.3">
      <c r="A1148" s="3" t="s">
        <v>1305</v>
      </c>
      <c r="B1148" s="5"/>
      <c r="C1148" s="5"/>
      <c r="D1148" s="6"/>
      <c r="E1148" s="7"/>
      <c r="Q1148" s="7"/>
      <c r="W1148" s="7"/>
      <c r="Y1148" s="8"/>
    </row>
    <row r="1149" spans="1:25" x14ac:dyDescent="0.3">
      <c r="A1149" s="3" t="s">
        <v>1306</v>
      </c>
      <c r="B1149" s="5"/>
      <c r="C1149" s="5"/>
      <c r="D1149" s="6"/>
      <c r="E1149" s="7"/>
      <c r="Q1149" s="7"/>
      <c r="W1149" s="7"/>
      <c r="Y1149" s="8"/>
    </row>
    <row r="1150" spans="1:25" x14ac:dyDescent="0.3">
      <c r="A1150" s="3" t="s">
        <v>1307</v>
      </c>
      <c r="B1150" s="5"/>
      <c r="C1150" s="5"/>
      <c r="D1150" s="6"/>
      <c r="E1150" s="7"/>
      <c r="Q1150" s="7"/>
      <c r="W1150" s="7"/>
      <c r="Y1150" s="8"/>
    </row>
    <row r="1151" spans="1:25" x14ac:dyDescent="0.3">
      <c r="A1151" s="3" t="s">
        <v>1308</v>
      </c>
      <c r="B1151" s="5"/>
      <c r="C1151" s="5"/>
      <c r="D1151" s="6"/>
      <c r="E1151" s="7"/>
      <c r="Q1151" s="7"/>
      <c r="W1151" s="7"/>
      <c r="Y1151" s="8"/>
    </row>
    <row r="1152" spans="1:25" x14ac:dyDescent="0.3">
      <c r="A1152" s="3" t="s">
        <v>1309</v>
      </c>
      <c r="B1152" s="5"/>
      <c r="C1152" s="5"/>
      <c r="D1152" s="6"/>
      <c r="E1152" s="7"/>
      <c r="Q1152" s="7"/>
      <c r="W1152" s="7"/>
      <c r="Y1152" s="8"/>
    </row>
    <row r="1153" spans="1:25" x14ac:dyDescent="0.3">
      <c r="A1153" s="3" t="s">
        <v>1310</v>
      </c>
      <c r="B1153" s="5"/>
      <c r="C1153" s="5"/>
      <c r="D1153" s="6"/>
      <c r="E1153" s="7"/>
      <c r="Q1153" s="7"/>
      <c r="W1153" s="7"/>
      <c r="Y1153" s="8"/>
    </row>
    <row r="1154" spans="1:25" x14ac:dyDescent="0.3">
      <c r="A1154" s="3" t="s">
        <v>1311</v>
      </c>
      <c r="B1154" s="5"/>
      <c r="C1154" s="5"/>
      <c r="D1154" s="6"/>
      <c r="E1154" s="7"/>
      <c r="Q1154" s="7"/>
      <c r="W1154" s="7"/>
      <c r="Y1154" s="8"/>
    </row>
    <row r="1155" spans="1:25" x14ac:dyDescent="0.3">
      <c r="A1155" s="3" t="s">
        <v>1312</v>
      </c>
      <c r="B1155" s="5"/>
      <c r="C1155" s="5"/>
      <c r="D1155" s="6"/>
      <c r="E1155" s="7"/>
      <c r="Q1155" s="7"/>
      <c r="W1155" s="7"/>
      <c r="Y1155" s="8"/>
    </row>
    <row r="1156" spans="1:25" x14ac:dyDescent="0.3">
      <c r="A1156" s="3" t="s">
        <v>1313</v>
      </c>
      <c r="B1156" s="5"/>
      <c r="C1156" s="5"/>
      <c r="D1156" s="6"/>
      <c r="E1156" s="7"/>
      <c r="Q1156" s="7"/>
      <c r="W1156" s="7"/>
      <c r="Y1156" s="8"/>
    </row>
    <row r="1157" spans="1:25" x14ac:dyDescent="0.3">
      <c r="A1157" s="3" t="s">
        <v>1314</v>
      </c>
      <c r="B1157" s="5"/>
      <c r="C1157" s="5"/>
      <c r="D1157" s="6"/>
      <c r="E1157" s="7"/>
      <c r="Q1157" s="7"/>
      <c r="W1157" s="7"/>
      <c r="Y1157" s="8"/>
    </row>
    <row r="1158" spans="1:25" x14ac:dyDescent="0.3">
      <c r="A1158" s="3" t="s">
        <v>1315</v>
      </c>
      <c r="B1158" s="5"/>
      <c r="C1158" s="5"/>
      <c r="D1158" s="6"/>
      <c r="E1158" s="7"/>
      <c r="Q1158" s="7"/>
      <c r="W1158" s="7"/>
      <c r="Y1158" s="8"/>
    </row>
    <row r="1159" spans="1:25" x14ac:dyDescent="0.3">
      <c r="A1159" s="3" t="s">
        <v>1316</v>
      </c>
      <c r="B1159" s="5"/>
      <c r="C1159" s="5"/>
      <c r="D1159" s="6"/>
      <c r="E1159" s="7"/>
      <c r="Q1159" s="7"/>
      <c r="W1159" s="7"/>
      <c r="Y1159" s="8"/>
    </row>
    <row r="1160" spans="1:25" x14ac:dyDescent="0.3">
      <c r="A1160" s="3" t="s">
        <v>1317</v>
      </c>
      <c r="B1160" s="5"/>
      <c r="C1160" s="5"/>
      <c r="D1160" s="6"/>
      <c r="E1160" s="7"/>
      <c r="Q1160" s="7"/>
      <c r="W1160" s="7"/>
      <c r="Y1160" s="8"/>
    </row>
    <row r="1161" spans="1:25" x14ac:dyDescent="0.3">
      <c r="A1161" s="3" t="s">
        <v>1318</v>
      </c>
      <c r="B1161" s="5"/>
      <c r="C1161" s="5"/>
      <c r="D1161" s="6"/>
      <c r="E1161" s="7"/>
      <c r="Q1161" s="7"/>
      <c r="W1161" s="7"/>
      <c r="Y1161" s="8"/>
    </row>
    <row r="1162" spans="1:25" x14ac:dyDescent="0.3">
      <c r="A1162" s="3" t="s">
        <v>1319</v>
      </c>
      <c r="B1162" s="5"/>
      <c r="C1162" s="5"/>
      <c r="D1162" s="6"/>
      <c r="E1162" s="7"/>
      <c r="Q1162" s="7"/>
      <c r="W1162" s="7"/>
      <c r="Y1162" s="8"/>
    </row>
    <row r="1163" spans="1:25" x14ac:dyDescent="0.3">
      <c r="A1163" s="3" t="s">
        <v>1320</v>
      </c>
      <c r="B1163" s="5"/>
      <c r="C1163" s="5"/>
      <c r="D1163" s="6"/>
      <c r="E1163" s="7"/>
      <c r="Q1163" s="7"/>
      <c r="W1163" s="7"/>
      <c r="Y1163" s="8"/>
    </row>
    <row r="1164" spans="1:25" x14ac:dyDescent="0.3">
      <c r="A1164" s="3" t="s">
        <v>1321</v>
      </c>
      <c r="B1164" s="5"/>
      <c r="C1164" s="5"/>
      <c r="D1164" s="6"/>
      <c r="E1164" s="7"/>
      <c r="Q1164" s="7"/>
      <c r="W1164" s="7"/>
      <c r="Y1164" s="8"/>
    </row>
    <row r="1165" spans="1:25" x14ac:dyDescent="0.3">
      <c r="A1165" s="3" t="s">
        <v>1322</v>
      </c>
      <c r="B1165" s="5"/>
      <c r="C1165" s="5"/>
      <c r="D1165" s="6"/>
      <c r="E1165" s="7"/>
      <c r="Q1165" s="7"/>
      <c r="W1165" s="7"/>
      <c r="Y1165" s="8"/>
    </row>
    <row r="1166" spans="1:25" x14ac:dyDescent="0.3">
      <c r="A1166" s="3" t="s">
        <v>1323</v>
      </c>
      <c r="B1166" s="5"/>
      <c r="C1166" s="5"/>
      <c r="D1166" s="6"/>
      <c r="E1166" s="7"/>
      <c r="Q1166" s="7"/>
      <c r="W1166" s="7"/>
      <c r="Y1166" s="8"/>
    </row>
    <row r="1167" spans="1:25" x14ac:dyDescent="0.3">
      <c r="A1167" s="3" t="s">
        <v>1324</v>
      </c>
      <c r="B1167" s="5"/>
      <c r="C1167" s="5"/>
      <c r="D1167" s="6"/>
      <c r="E1167" s="7"/>
      <c r="Q1167" s="7"/>
      <c r="W1167" s="7"/>
      <c r="Y1167" s="8"/>
    </row>
    <row r="1168" spans="1:25" x14ac:dyDescent="0.3">
      <c r="A1168" s="3" t="s">
        <v>1325</v>
      </c>
      <c r="B1168" s="5"/>
      <c r="C1168" s="5"/>
      <c r="D1168" s="6"/>
      <c r="E1168" s="7"/>
      <c r="Q1168" s="7"/>
      <c r="W1168" s="7"/>
      <c r="Y1168" s="8"/>
    </row>
    <row r="1169" spans="1:25" x14ac:dyDescent="0.3">
      <c r="A1169" s="3" t="s">
        <v>1326</v>
      </c>
      <c r="B1169" s="5"/>
      <c r="C1169" s="5"/>
      <c r="D1169" s="6"/>
      <c r="E1169" s="7"/>
      <c r="Q1169" s="7"/>
      <c r="W1169" s="7"/>
      <c r="Y1169" s="8"/>
    </row>
    <row r="1170" spans="1:25" x14ac:dyDescent="0.3">
      <c r="A1170" s="3" t="s">
        <v>1327</v>
      </c>
      <c r="B1170" s="5"/>
      <c r="C1170" s="5"/>
      <c r="D1170" s="6"/>
      <c r="E1170" s="7"/>
      <c r="Q1170" s="7"/>
      <c r="W1170" s="7"/>
      <c r="Y1170" s="8"/>
    </row>
    <row r="1171" spans="1:25" x14ac:dyDescent="0.3">
      <c r="A1171" s="3" t="s">
        <v>1328</v>
      </c>
      <c r="B1171" s="5"/>
      <c r="C1171" s="5"/>
      <c r="D1171" s="6"/>
      <c r="E1171" s="7"/>
      <c r="Q1171" s="7"/>
      <c r="W1171" s="7"/>
      <c r="Y1171" s="8"/>
    </row>
    <row r="1172" spans="1:25" x14ac:dyDescent="0.3">
      <c r="A1172" s="3" t="s">
        <v>1329</v>
      </c>
      <c r="B1172" s="5"/>
      <c r="C1172" s="5"/>
      <c r="D1172" s="6"/>
      <c r="E1172" s="7"/>
      <c r="Q1172" s="7"/>
      <c r="W1172" s="7"/>
      <c r="Y1172" s="8"/>
    </row>
    <row r="1173" spans="1:25" x14ac:dyDescent="0.3">
      <c r="A1173" s="3" t="s">
        <v>1330</v>
      </c>
      <c r="B1173" s="5"/>
      <c r="C1173" s="5"/>
      <c r="D1173" s="6"/>
      <c r="E1173" s="7"/>
      <c r="Q1173" s="7"/>
      <c r="W1173" s="7"/>
      <c r="Y1173" s="8"/>
    </row>
    <row r="1174" spans="1:25" x14ac:dyDescent="0.3">
      <c r="A1174" s="3" t="s">
        <v>1331</v>
      </c>
      <c r="B1174" s="5"/>
      <c r="C1174" s="5"/>
      <c r="D1174" s="6"/>
      <c r="E1174" s="7"/>
      <c r="Q1174" s="7"/>
      <c r="W1174" s="7"/>
      <c r="Y1174" s="8"/>
    </row>
    <row r="1175" spans="1:25" x14ac:dyDescent="0.3">
      <c r="A1175" s="3" t="s">
        <v>1332</v>
      </c>
      <c r="B1175" s="5"/>
      <c r="C1175" s="5"/>
      <c r="D1175" s="6"/>
      <c r="E1175" s="7"/>
      <c r="Q1175" s="7"/>
      <c r="W1175" s="7"/>
      <c r="Y1175" s="8"/>
    </row>
    <row r="1176" spans="1:25" x14ac:dyDescent="0.3">
      <c r="A1176" s="3" t="s">
        <v>1333</v>
      </c>
      <c r="B1176" s="5"/>
      <c r="C1176" s="5"/>
      <c r="D1176" s="6"/>
      <c r="E1176" s="7"/>
      <c r="Q1176" s="7"/>
      <c r="W1176" s="7"/>
      <c r="Y1176" s="8"/>
    </row>
    <row r="1177" spans="1:25" x14ac:dyDescent="0.3">
      <c r="A1177" s="3" t="s">
        <v>1334</v>
      </c>
      <c r="B1177" s="5"/>
      <c r="C1177" s="5"/>
      <c r="D1177" s="6"/>
      <c r="E1177" s="7"/>
      <c r="Q1177" s="7"/>
      <c r="W1177" s="7"/>
      <c r="Y1177" s="8"/>
    </row>
    <row r="1178" spans="1:25" x14ac:dyDescent="0.3">
      <c r="A1178" s="3" t="s">
        <v>1335</v>
      </c>
      <c r="B1178" s="5"/>
      <c r="C1178" s="5"/>
      <c r="D1178" s="6"/>
      <c r="E1178" s="7"/>
      <c r="Q1178" s="7"/>
      <c r="W1178" s="7"/>
      <c r="Y1178" s="8"/>
    </row>
    <row r="1179" spans="1:25" x14ac:dyDescent="0.3">
      <c r="A1179" s="3" t="s">
        <v>1336</v>
      </c>
      <c r="B1179" s="5"/>
      <c r="C1179" s="5"/>
      <c r="D1179" s="6"/>
      <c r="E1179" s="7"/>
      <c r="Q1179" s="7"/>
      <c r="W1179" s="7"/>
      <c r="Y1179" s="8"/>
    </row>
    <row r="1180" spans="1:25" x14ac:dyDescent="0.3">
      <c r="A1180" s="3" t="s">
        <v>1337</v>
      </c>
      <c r="B1180" s="5"/>
      <c r="C1180" s="5"/>
      <c r="D1180" s="6"/>
      <c r="E1180" s="7"/>
      <c r="Q1180" s="7"/>
      <c r="W1180" s="7"/>
      <c r="Y1180" s="8"/>
    </row>
    <row r="1181" spans="1:25" x14ac:dyDescent="0.3">
      <c r="A1181" s="3" t="s">
        <v>1338</v>
      </c>
      <c r="B1181" s="5"/>
      <c r="C1181" s="5"/>
      <c r="D1181" s="6"/>
      <c r="E1181" s="7"/>
      <c r="Q1181" s="7"/>
      <c r="W1181" s="7"/>
      <c r="Y1181" s="8"/>
    </row>
    <row r="1182" spans="1:25" x14ac:dyDescent="0.3">
      <c r="A1182" s="3" t="s">
        <v>1339</v>
      </c>
      <c r="B1182" s="5"/>
      <c r="C1182" s="5"/>
      <c r="D1182" s="6"/>
      <c r="E1182" s="7"/>
      <c r="Q1182" s="7"/>
      <c r="W1182" s="7"/>
      <c r="Y1182" s="8"/>
    </row>
    <row r="1183" spans="1:25" x14ac:dyDescent="0.3">
      <c r="A1183" s="3" t="s">
        <v>1340</v>
      </c>
      <c r="B1183" s="5"/>
      <c r="C1183" s="5"/>
      <c r="D1183" s="6"/>
      <c r="E1183" s="7"/>
      <c r="Q1183" s="7"/>
      <c r="W1183" s="7"/>
      <c r="Y1183" s="8"/>
    </row>
    <row r="1184" spans="1:25" x14ac:dyDescent="0.3">
      <c r="A1184" s="3" t="s">
        <v>1341</v>
      </c>
      <c r="B1184" s="5"/>
      <c r="C1184" s="5"/>
      <c r="D1184" s="6"/>
      <c r="E1184" s="7"/>
      <c r="Q1184" s="7"/>
      <c r="W1184" s="7"/>
      <c r="Y1184" s="8"/>
    </row>
    <row r="1185" spans="1:25" x14ac:dyDescent="0.3">
      <c r="A1185" s="3" t="s">
        <v>1342</v>
      </c>
      <c r="B1185" s="5"/>
      <c r="C1185" s="5"/>
      <c r="D1185" s="6"/>
      <c r="E1185" s="7"/>
      <c r="Q1185" s="7"/>
      <c r="W1185" s="7"/>
      <c r="Y1185" s="8"/>
    </row>
    <row r="1186" spans="1:25" x14ac:dyDescent="0.3">
      <c r="A1186" s="3" t="s">
        <v>1343</v>
      </c>
      <c r="B1186" s="5"/>
      <c r="C1186" s="5"/>
      <c r="D1186" s="6"/>
      <c r="E1186" s="7"/>
      <c r="Q1186" s="7"/>
      <c r="W1186" s="7"/>
      <c r="Y1186" s="8"/>
    </row>
    <row r="1187" spans="1:25" x14ac:dyDescent="0.3">
      <c r="A1187" s="3" t="s">
        <v>1344</v>
      </c>
      <c r="B1187" s="5"/>
      <c r="C1187" s="5"/>
      <c r="D1187" s="6"/>
      <c r="E1187" s="7"/>
      <c r="Q1187" s="7"/>
      <c r="W1187" s="7"/>
      <c r="Y1187" s="8"/>
    </row>
    <row r="1188" spans="1:25" x14ac:dyDescent="0.3">
      <c r="A1188" s="3" t="s">
        <v>1345</v>
      </c>
      <c r="B1188" s="5"/>
      <c r="C1188" s="5"/>
      <c r="D1188" s="6"/>
      <c r="E1188" s="7"/>
      <c r="Q1188" s="7"/>
      <c r="W1188" s="7"/>
      <c r="Y1188" s="8"/>
    </row>
    <row r="1189" spans="1:25" x14ac:dyDescent="0.3">
      <c r="A1189" s="3" t="s">
        <v>1346</v>
      </c>
      <c r="B1189" s="5"/>
      <c r="C1189" s="5"/>
      <c r="D1189" s="6"/>
      <c r="E1189" s="7"/>
      <c r="Q1189" s="7"/>
      <c r="W1189" s="7"/>
      <c r="Y1189" s="8"/>
    </row>
    <row r="1190" spans="1:25" x14ac:dyDescent="0.3">
      <c r="A1190" s="3" t="s">
        <v>1347</v>
      </c>
      <c r="B1190" s="5"/>
      <c r="C1190" s="5"/>
      <c r="D1190" s="6"/>
      <c r="E1190" s="7"/>
      <c r="Q1190" s="7"/>
      <c r="W1190" s="7"/>
      <c r="Y1190" s="8"/>
    </row>
    <row r="1191" spans="1:25" x14ac:dyDescent="0.3">
      <c r="A1191" s="3" t="s">
        <v>1348</v>
      </c>
      <c r="B1191" s="5"/>
      <c r="C1191" s="5"/>
      <c r="D1191" s="6"/>
      <c r="E1191" s="7"/>
      <c r="Q1191" s="7"/>
      <c r="W1191" s="7"/>
      <c r="Y1191" s="8"/>
    </row>
    <row r="1192" spans="1:25" x14ac:dyDescent="0.3">
      <c r="A1192" s="3" t="s">
        <v>1349</v>
      </c>
      <c r="B1192" s="5"/>
      <c r="C1192" s="5"/>
      <c r="D1192" s="6"/>
      <c r="E1192" s="7"/>
      <c r="Q1192" s="7"/>
      <c r="W1192" s="7"/>
      <c r="Y1192" s="8"/>
    </row>
    <row r="1193" spans="1:25" x14ac:dyDescent="0.3">
      <c r="A1193" s="3" t="s">
        <v>1350</v>
      </c>
      <c r="B1193" s="5"/>
      <c r="C1193" s="5"/>
      <c r="D1193" s="6"/>
      <c r="E1193" s="7"/>
      <c r="Q1193" s="7"/>
      <c r="W1193" s="7"/>
      <c r="Y1193" s="8"/>
    </row>
    <row r="1194" spans="1:25" x14ac:dyDescent="0.3">
      <c r="A1194" s="3" t="s">
        <v>1351</v>
      </c>
      <c r="B1194" s="5"/>
      <c r="C1194" s="5"/>
      <c r="D1194" s="6"/>
      <c r="E1194" s="7"/>
      <c r="Q1194" s="7"/>
      <c r="W1194" s="7"/>
      <c r="Y1194" s="8"/>
    </row>
    <row r="1195" spans="1:25" x14ac:dyDescent="0.3">
      <c r="A1195" s="3" t="s">
        <v>1352</v>
      </c>
      <c r="B1195" s="5"/>
      <c r="C1195" s="5"/>
      <c r="D1195" s="6"/>
      <c r="E1195" s="7"/>
      <c r="Q1195" s="7"/>
      <c r="W1195" s="7"/>
      <c r="Y1195" s="8"/>
    </row>
    <row r="1196" spans="1:25" x14ac:dyDescent="0.3">
      <c r="A1196" s="3" t="s">
        <v>1353</v>
      </c>
      <c r="B1196" s="5"/>
      <c r="C1196" s="5"/>
      <c r="D1196" s="6"/>
      <c r="E1196" s="7"/>
      <c r="Q1196" s="7"/>
      <c r="W1196" s="7"/>
      <c r="Y1196" s="8"/>
    </row>
    <row r="1197" spans="1:25" x14ac:dyDescent="0.3">
      <c r="A1197" s="3" t="s">
        <v>1354</v>
      </c>
      <c r="B1197" s="5"/>
      <c r="C1197" s="5"/>
      <c r="D1197" s="6"/>
      <c r="E1197" s="7"/>
      <c r="Q1197" s="7"/>
      <c r="W1197" s="7"/>
      <c r="Y1197" s="8"/>
    </row>
    <row r="1198" spans="1:25" x14ac:dyDescent="0.3">
      <c r="A1198" s="3" t="s">
        <v>1355</v>
      </c>
      <c r="B1198" s="5"/>
      <c r="C1198" s="5"/>
      <c r="D1198" s="6"/>
      <c r="E1198" s="7"/>
      <c r="Q1198" s="7"/>
      <c r="W1198" s="7"/>
      <c r="Y1198" s="8"/>
    </row>
    <row r="1199" spans="1:25" x14ac:dyDescent="0.3">
      <c r="A1199" s="3" t="s">
        <v>1356</v>
      </c>
      <c r="B1199" s="5"/>
      <c r="C1199" s="5"/>
      <c r="D1199" s="6"/>
      <c r="E1199" s="7"/>
      <c r="Q1199" s="7"/>
      <c r="W1199" s="7"/>
      <c r="Y1199" s="8"/>
    </row>
    <row r="1200" spans="1:25" x14ac:dyDescent="0.3">
      <c r="A1200" s="3" t="s">
        <v>1357</v>
      </c>
      <c r="B1200" s="5"/>
      <c r="C1200" s="5"/>
      <c r="D1200" s="6"/>
      <c r="E1200" s="7"/>
      <c r="Q1200" s="7"/>
      <c r="W1200" s="7"/>
      <c r="Y1200" s="8"/>
    </row>
    <row r="1201" spans="1:25" x14ac:dyDescent="0.3">
      <c r="A1201" s="3" t="s">
        <v>1358</v>
      </c>
      <c r="B1201" s="5"/>
      <c r="C1201" s="5"/>
      <c r="D1201" s="6"/>
      <c r="E1201" s="7"/>
      <c r="Q1201" s="7"/>
      <c r="W1201" s="7"/>
      <c r="Y1201" s="8"/>
    </row>
    <row r="1202" spans="1:25" x14ac:dyDescent="0.3">
      <c r="A1202" s="3" t="s">
        <v>1359</v>
      </c>
      <c r="B1202" s="5"/>
      <c r="C1202" s="5"/>
      <c r="D1202" s="6"/>
      <c r="E1202" s="7"/>
      <c r="Q1202" s="7"/>
      <c r="W1202" s="7"/>
      <c r="Y1202" s="8"/>
    </row>
    <row r="1203" spans="1:25" x14ac:dyDescent="0.3">
      <c r="A1203" s="3" t="s">
        <v>1360</v>
      </c>
      <c r="B1203" s="5"/>
      <c r="C1203" s="5"/>
      <c r="D1203" s="6"/>
      <c r="E1203" s="7"/>
      <c r="Q1203" s="7"/>
      <c r="W1203" s="7"/>
      <c r="Y1203" s="8"/>
    </row>
    <row r="1204" spans="1:25" x14ac:dyDescent="0.3">
      <c r="A1204" s="3" t="s">
        <v>1361</v>
      </c>
      <c r="B1204" s="5"/>
      <c r="C1204" s="5"/>
      <c r="D1204" s="6"/>
      <c r="E1204" s="7"/>
      <c r="Q1204" s="7"/>
      <c r="W1204" s="7"/>
      <c r="Y1204" s="8"/>
    </row>
    <row r="1205" spans="1:25" x14ac:dyDescent="0.3">
      <c r="A1205" s="3" t="s">
        <v>1362</v>
      </c>
      <c r="B1205" s="5"/>
      <c r="C1205" s="5"/>
      <c r="D1205" s="6"/>
      <c r="E1205" s="7"/>
      <c r="Q1205" s="7"/>
      <c r="W1205" s="7"/>
      <c r="Y1205" s="8"/>
    </row>
    <row r="1206" spans="1:25" x14ac:dyDescent="0.3">
      <c r="A1206" s="3" t="s">
        <v>1363</v>
      </c>
      <c r="B1206" s="5"/>
      <c r="C1206" s="5"/>
      <c r="D1206" s="6"/>
      <c r="E1206" s="7"/>
      <c r="Q1206" s="7"/>
      <c r="W1206" s="7"/>
      <c r="Y1206" s="8"/>
    </row>
    <row r="1207" spans="1:25" x14ac:dyDescent="0.3">
      <c r="A1207" s="3" t="s">
        <v>1364</v>
      </c>
      <c r="B1207" s="5"/>
      <c r="C1207" s="5"/>
      <c r="D1207" s="6"/>
      <c r="E1207" s="7"/>
      <c r="Q1207" s="7"/>
      <c r="W1207" s="7"/>
      <c r="Y1207" s="8"/>
    </row>
    <row r="1208" spans="1:25" x14ac:dyDescent="0.3">
      <c r="A1208" s="3" t="s">
        <v>1365</v>
      </c>
      <c r="B1208" s="5"/>
      <c r="C1208" s="5"/>
      <c r="D1208" s="6"/>
      <c r="E1208" s="7"/>
      <c r="Q1208" s="7"/>
      <c r="W1208" s="7"/>
      <c r="Y1208" s="8"/>
    </row>
    <row r="1209" spans="1:25" x14ac:dyDescent="0.3">
      <c r="A1209" s="3" t="s">
        <v>1366</v>
      </c>
      <c r="B1209" s="5"/>
      <c r="C1209" s="5"/>
      <c r="D1209" s="6"/>
      <c r="E1209" s="7"/>
      <c r="Q1209" s="7"/>
      <c r="W1209" s="7"/>
      <c r="Y1209" s="8"/>
    </row>
    <row r="1210" spans="1:25" x14ac:dyDescent="0.3">
      <c r="A1210" s="3" t="s">
        <v>1367</v>
      </c>
      <c r="B1210" s="5"/>
      <c r="C1210" s="5"/>
      <c r="D1210" s="6"/>
      <c r="E1210" s="7"/>
      <c r="Q1210" s="7"/>
      <c r="W1210" s="7"/>
      <c r="Y1210" s="8"/>
    </row>
    <row r="1211" spans="1:25" x14ac:dyDescent="0.3">
      <c r="A1211" s="3" t="s">
        <v>1368</v>
      </c>
      <c r="B1211" s="5"/>
      <c r="C1211" s="5"/>
      <c r="D1211" s="6"/>
      <c r="E1211" s="7"/>
      <c r="Q1211" s="7"/>
      <c r="W1211" s="7"/>
      <c r="Y1211" s="8"/>
    </row>
    <row r="1212" spans="1:25" x14ac:dyDescent="0.3">
      <c r="A1212" s="3" t="s">
        <v>1369</v>
      </c>
      <c r="B1212" s="5"/>
      <c r="C1212" s="5"/>
      <c r="D1212" s="6"/>
      <c r="E1212" s="7"/>
      <c r="Q1212" s="7"/>
      <c r="W1212" s="7"/>
      <c r="Y1212" s="8"/>
    </row>
    <row r="1213" spans="1:25" x14ac:dyDescent="0.3">
      <c r="A1213" s="3" t="s">
        <v>1370</v>
      </c>
      <c r="B1213" s="5"/>
      <c r="C1213" s="5"/>
      <c r="D1213" s="6"/>
      <c r="E1213" s="7"/>
      <c r="Q1213" s="7"/>
      <c r="W1213" s="7"/>
      <c r="Y1213" s="8"/>
    </row>
    <row r="1214" spans="1:25" x14ac:dyDescent="0.3">
      <c r="A1214" s="3" t="s">
        <v>1371</v>
      </c>
      <c r="B1214" s="5"/>
      <c r="C1214" s="5"/>
      <c r="D1214" s="6"/>
      <c r="E1214" s="7"/>
      <c r="Q1214" s="7"/>
      <c r="W1214" s="7"/>
      <c r="Y1214" s="8"/>
    </row>
    <row r="1215" spans="1:25" x14ac:dyDescent="0.3">
      <c r="A1215" s="3" t="s">
        <v>1372</v>
      </c>
      <c r="B1215" s="5"/>
      <c r="C1215" s="5"/>
      <c r="D1215" s="6"/>
      <c r="E1215" s="7"/>
      <c r="Q1215" s="7"/>
      <c r="W1215" s="7"/>
      <c r="Y1215" s="8"/>
    </row>
    <row r="1216" spans="1:25" x14ac:dyDescent="0.3">
      <c r="A1216" s="3" t="s">
        <v>1373</v>
      </c>
      <c r="B1216" s="5"/>
      <c r="C1216" s="5"/>
      <c r="D1216" s="6"/>
      <c r="E1216" s="7"/>
      <c r="Q1216" s="7"/>
      <c r="W1216" s="7"/>
      <c r="Y1216" s="8"/>
    </row>
    <row r="1217" spans="1:25" x14ac:dyDescent="0.3">
      <c r="A1217" s="3" t="s">
        <v>1374</v>
      </c>
      <c r="B1217" s="5"/>
      <c r="C1217" s="5"/>
      <c r="D1217" s="6"/>
      <c r="E1217" s="7"/>
      <c r="Q1217" s="7"/>
      <c r="W1217" s="7"/>
      <c r="Y1217" s="8"/>
    </row>
    <row r="1218" spans="1:25" x14ac:dyDescent="0.3">
      <c r="A1218" s="3" t="s">
        <v>1375</v>
      </c>
      <c r="B1218" s="5"/>
      <c r="C1218" s="5"/>
      <c r="D1218" s="6"/>
      <c r="E1218" s="7"/>
      <c r="Q1218" s="7"/>
      <c r="W1218" s="7"/>
      <c r="Y1218" s="8"/>
    </row>
    <row r="1219" spans="1:25" x14ac:dyDescent="0.3">
      <c r="A1219" s="3" t="s">
        <v>1376</v>
      </c>
      <c r="B1219" s="5"/>
      <c r="C1219" s="5"/>
      <c r="D1219" s="6"/>
      <c r="E1219" s="7"/>
      <c r="Q1219" s="7"/>
      <c r="W1219" s="7"/>
      <c r="Y1219" s="8"/>
    </row>
    <row r="1220" spans="1:25" x14ac:dyDescent="0.3">
      <c r="A1220" s="3" t="s">
        <v>1377</v>
      </c>
      <c r="B1220" s="5"/>
      <c r="C1220" s="5"/>
      <c r="D1220" s="6"/>
      <c r="E1220" s="7"/>
      <c r="Q1220" s="7"/>
      <c r="W1220" s="7"/>
      <c r="Y1220" s="8"/>
    </row>
    <row r="1221" spans="1:25" x14ac:dyDescent="0.3">
      <c r="A1221" s="3" t="s">
        <v>1378</v>
      </c>
      <c r="B1221" s="5"/>
      <c r="C1221" s="5"/>
      <c r="D1221" s="6"/>
      <c r="E1221" s="7"/>
      <c r="Q1221" s="7"/>
      <c r="W1221" s="7"/>
      <c r="Y1221" s="8"/>
    </row>
    <row r="1222" spans="1:25" x14ac:dyDescent="0.3">
      <c r="A1222" s="3" t="s">
        <v>1379</v>
      </c>
      <c r="B1222" s="5"/>
      <c r="C1222" s="5"/>
      <c r="D1222" s="6"/>
      <c r="E1222" s="7"/>
      <c r="Q1222" s="7"/>
      <c r="W1222" s="7"/>
      <c r="Y1222" s="8"/>
    </row>
    <row r="1223" spans="1:25" x14ac:dyDescent="0.3">
      <c r="A1223" s="3" t="s">
        <v>1380</v>
      </c>
      <c r="B1223" s="5"/>
      <c r="C1223" s="5"/>
      <c r="D1223" s="6"/>
      <c r="E1223" s="7"/>
      <c r="Q1223" s="7"/>
      <c r="W1223" s="7"/>
      <c r="Y1223" s="8"/>
    </row>
    <row r="1224" spans="1:25" x14ac:dyDescent="0.3">
      <c r="A1224" s="3" t="s">
        <v>1381</v>
      </c>
      <c r="B1224" s="5"/>
      <c r="C1224" s="5"/>
      <c r="D1224" s="6"/>
      <c r="E1224" s="7"/>
      <c r="Q1224" s="7"/>
      <c r="W1224" s="7"/>
      <c r="Y1224" s="8"/>
    </row>
    <row r="1225" spans="1:25" x14ac:dyDescent="0.3">
      <c r="A1225" s="3" t="s">
        <v>1382</v>
      </c>
      <c r="B1225" s="5"/>
      <c r="C1225" s="5"/>
      <c r="D1225" s="6"/>
      <c r="E1225" s="7"/>
      <c r="Q1225" s="7"/>
      <c r="W1225" s="7"/>
      <c r="Y1225" s="8"/>
    </row>
    <row r="1226" spans="1:25" x14ac:dyDescent="0.3">
      <c r="A1226" s="3" t="s">
        <v>1383</v>
      </c>
      <c r="B1226" s="5"/>
      <c r="C1226" s="5"/>
      <c r="D1226" s="6"/>
      <c r="E1226" s="7"/>
      <c r="Q1226" s="7"/>
      <c r="W1226" s="7"/>
      <c r="Y1226" s="8"/>
    </row>
    <row r="1227" spans="1:25" x14ac:dyDescent="0.3">
      <c r="A1227" s="3" t="s">
        <v>1384</v>
      </c>
      <c r="B1227" s="5"/>
      <c r="C1227" s="5"/>
      <c r="D1227" s="6"/>
      <c r="E1227" s="7"/>
      <c r="Q1227" s="7"/>
      <c r="W1227" s="7"/>
      <c r="Y1227" s="8"/>
    </row>
    <row r="1228" spans="1:25" x14ac:dyDescent="0.3">
      <c r="A1228" s="3" t="s">
        <v>1385</v>
      </c>
      <c r="B1228" s="5"/>
      <c r="C1228" s="5"/>
      <c r="D1228" s="6"/>
      <c r="E1228" s="7"/>
      <c r="Q1228" s="7"/>
      <c r="W1228" s="7"/>
      <c r="Y1228" s="8"/>
    </row>
    <row r="1229" spans="1:25" x14ac:dyDescent="0.3">
      <c r="A1229" s="3" t="s">
        <v>1386</v>
      </c>
      <c r="B1229" s="5"/>
      <c r="C1229" s="5"/>
      <c r="D1229" s="6"/>
      <c r="E1229" s="7"/>
      <c r="Q1229" s="7"/>
      <c r="W1229" s="7"/>
      <c r="Y1229" s="8"/>
    </row>
    <row r="1230" spans="1:25" x14ac:dyDescent="0.3">
      <c r="A1230" s="3" t="s">
        <v>1387</v>
      </c>
      <c r="B1230" s="5"/>
      <c r="C1230" s="5"/>
      <c r="D1230" s="6"/>
      <c r="E1230" s="7"/>
      <c r="Q1230" s="7"/>
      <c r="W1230" s="7"/>
      <c r="Y1230" s="8"/>
    </row>
    <row r="1231" spans="1:25" x14ac:dyDescent="0.3">
      <c r="A1231" s="3" t="s">
        <v>1388</v>
      </c>
      <c r="B1231" s="5"/>
      <c r="C1231" s="5"/>
      <c r="D1231" s="6"/>
      <c r="E1231" s="7"/>
      <c r="Q1231" s="7"/>
      <c r="W1231" s="7"/>
      <c r="Y1231" s="8"/>
    </row>
    <row r="1232" spans="1:25" x14ac:dyDescent="0.3">
      <c r="A1232" s="3" t="s">
        <v>1389</v>
      </c>
      <c r="B1232" s="5"/>
      <c r="C1232" s="5"/>
      <c r="D1232" s="6"/>
      <c r="E1232" s="7"/>
      <c r="Q1232" s="7"/>
      <c r="W1232" s="7"/>
      <c r="Y1232" s="8"/>
    </row>
    <row r="1233" spans="1:25" x14ac:dyDescent="0.3">
      <c r="A1233" s="3" t="s">
        <v>1390</v>
      </c>
      <c r="B1233" s="5"/>
      <c r="C1233" s="5"/>
      <c r="D1233" s="6"/>
      <c r="E1233" s="7"/>
      <c r="Q1233" s="7"/>
      <c r="W1233" s="7"/>
      <c r="Y1233" s="8"/>
    </row>
    <row r="1234" spans="1:25" x14ac:dyDescent="0.3">
      <c r="A1234" s="3" t="s">
        <v>1391</v>
      </c>
      <c r="B1234" s="5"/>
      <c r="C1234" s="5"/>
      <c r="D1234" s="6"/>
      <c r="E1234" s="7"/>
      <c r="Q1234" s="7"/>
      <c r="W1234" s="7"/>
      <c r="Y1234" s="8"/>
    </row>
    <row r="1235" spans="1:25" x14ac:dyDescent="0.3">
      <c r="A1235" s="3" t="s">
        <v>1392</v>
      </c>
      <c r="B1235" s="5"/>
      <c r="C1235" s="5"/>
      <c r="D1235" s="6"/>
      <c r="E1235" s="7"/>
      <c r="Q1235" s="7"/>
      <c r="W1235" s="7"/>
      <c r="Y1235" s="8"/>
    </row>
    <row r="1236" spans="1:25" x14ac:dyDescent="0.3">
      <c r="A1236" s="3" t="s">
        <v>1393</v>
      </c>
      <c r="B1236" s="5"/>
      <c r="C1236" s="5"/>
      <c r="D1236" s="6"/>
      <c r="E1236" s="7"/>
      <c r="Q1236" s="7"/>
      <c r="W1236" s="7"/>
      <c r="Y1236" s="8"/>
    </row>
    <row r="1237" spans="1:25" x14ac:dyDescent="0.3">
      <c r="A1237" s="3" t="s">
        <v>1394</v>
      </c>
      <c r="B1237" s="5"/>
      <c r="C1237" s="5"/>
      <c r="D1237" s="6"/>
      <c r="E1237" s="7"/>
      <c r="Q1237" s="7"/>
      <c r="W1237" s="7"/>
      <c r="Y1237" s="8"/>
    </row>
    <row r="1238" spans="1:25" x14ac:dyDescent="0.3">
      <c r="A1238" s="3" t="s">
        <v>1395</v>
      </c>
      <c r="B1238" s="5"/>
      <c r="C1238" s="5"/>
      <c r="D1238" s="6"/>
      <c r="E1238" s="7"/>
      <c r="Q1238" s="7"/>
      <c r="W1238" s="7"/>
      <c r="Y1238" s="8"/>
    </row>
    <row r="1239" spans="1:25" x14ac:dyDescent="0.3">
      <c r="A1239" s="3" t="s">
        <v>1396</v>
      </c>
      <c r="B1239" s="5"/>
      <c r="C1239" s="5"/>
      <c r="D1239" s="6"/>
      <c r="E1239" s="7"/>
      <c r="Q1239" s="7"/>
      <c r="W1239" s="7"/>
      <c r="Y1239" s="8"/>
    </row>
    <row r="1240" spans="1:25" x14ac:dyDescent="0.3">
      <c r="A1240" s="3" t="s">
        <v>1397</v>
      </c>
      <c r="B1240" s="5"/>
      <c r="C1240" s="5"/>
      <c r="D1240" s="6"/>
      <c r="E1240" s="7"/>
      <c r="Q1240" s="7"/>
      <c r="W1240" s="7"/>
      <c r="Y1240" s="8"/>
    </row>
    <row r="1241" spans="1:25" x14ac:dyDescent="0.3">
      <c r="A1241" s="3" t="s">
        <v>1398</v>
      </c>
      <c r="B1241" s="5"/>
      <c r="C1241" s="5"/>
      <c r="D1241" s="6"/>
      <c r="E1241" s="7"/>
      <c r="Q1241" s="7"/>
      <c r="W1241" s="7"/>
      <c r="Y1241" s="8"/>
    </row>
    <row r="1242" spans="1:25" x14ac:dyDescent="0.3">
      <c r="A1242" s="3" t="s">
        <v>1399</v>
      </c>
      <c r="B1242" s="5"/>
      <c r="C1242" s="5"/>
      <c r="D1242" s="6"/>
      <c r="E1242" s="7"/>
      <c r="Q1242" s="7"/>
      <c r="W1242" s="7"/>
      <c r="Y1242" s="8"/>
    </row>
    <row r="1243" spans="1:25" x14ac:dyDescent="0.3">
      <c r="A1243" s="3" t="s">
        <v>1400</v>
      </c>
      <c r="B1243" s="5"/>
      <c r="C1243" s="5"/>
      <c r="D1243" s="6"/>
      <c r="E1243" s="7"/>
      <c r="Q1243" s="7"/>
      <c r="W1243" s="7"/>
      <c r="Y1243" s="8"/>
    </row>
    <row r="1244" spans="1:25" x14ac:dyDescent="0.3">
      <c r="A1244" s="3" t="s">
        <v>1401</v>
      </c>
      <c r="B1244" s="5"/>
      <c r="C1244" s="5"/>
      <c r="D1244" s="6"/>
      <c r="E1244" s="7"/>
      <c r="Q1244" s="7"/>
      <c r="W1244" s="7"/>
      <c r="Y1244" s="8"/>
    </row>
    <row r="1245" spans="1:25" x14ac:dyDescent="0.3">
      <c r="A1245" s="3" t="s">
        <v>1402</v>
      </c>
      <c r="B1245" s="5"/>
      <c r="C1245" s="5"/>
      <c r="D1245" s="6"/>
      <c r="E1245" s="7"/>
      <c r="Q1245" s="7"/>
      <c r="W1245" s="7"/>
      <c r="Y1245" s="8"/>
    </row>
    <row r="1246" spans="1:25" x14ac:dyDescent="0.3">
      <c r="A1246" s="3" t="s">
        <v>1403</v>
      </c>
      <c r="B1246" s="5"/>
      <c r="C1246" s="5"/>
      <c r="D1246" s="6"/>
      <c r="E1246" s="7"/>
      <c r="Q1246" s="7"/>
      <c r="W1246" s="7"/>
      <c r="Y1246" s="8"/>
    </row>
    <row r="1247" spans="1:25" x14ac:dyDescent="0.3">
      <c r="A1247" s="3" t="s">
        <v>1404</v>
      </c>
      <c r="B1247" s="5"/>
      <c r="C1247" s="5"/>
      <c r="D1247" s="6"/>
      <c r="E1247" s="7"/>
      <c r="Q1247" s="7"/>
      <c r="W1247" s="7"/>
      <c r="Y1247" s="8"/>
    </row>
    <row r="1248" spans="1:25" x14ac:dyDescent="0.3">
      <c r="A1248" s="3" t="s">
        <v>1405</v>
      </c>
      <c r="B1248" s="5"/>
      <c r="C1248" s="5"/>
      <c r="D1248" s="6"/>
      <c r="E1248" s="7"/>
      <c r="Q1248" s="7"/>
      <c r="W1248" s="7"/>
      <c r="Y1248" s="8"/>
    </row>
    <row r="1249" spans="1:25" x14ac:dyDescent="0.3">
      <c r="A1249" s="3" t="s">
        <v>1406</v>
      </c>
      <c r="B1249" s="5"/>
      <c r="C1249" s="5"/>
      <c r="D1249" s="6"/>
      <c r="E1249" s="7"/>
      <c r="Q1249" s="7"/>
      <c r="W1249" s="7"/>
      <c r="Y1249" s="8"/>
    </row>
    <row r="1250" spans="1:25" x14ac:dyDescent="0.3">
      <c r="A1250" s="3" t="s">
        <v>1407</v>
      </c>
      <c r="B1250" s="5"/>
      <c r="C1250" s="5"/>
      <c r="D1250" s="6"/>
      <c r="E1250" s="7"/>
      <c r="Q1250" s="7"/>
      <c r="W1250" s="7"/>
      <c r="Y1250" s="8"/>
    </row>
    <row r="1251" spans="1:25" x14ac:dyDescent="0.3">
      <c r="A1251" s="3" t="s">
        <v>1408</v>
      </c>
      <c r="B1251" s="5"/>
      <c r="C1251" s="5"/>
      <c r="D1251" s="6"/>
      <c r="E1251" s="7"/>
      <c r="Q1251" s="7"/>
      <c r="W1251" s="7"/>
      <c r="Y1251" s="8"/>
    </row>
    <row r="1252" spans="1:25" x14ac:dyDescent="0.3">
      <c r="A1252" s="3" t="s">
        <v>1409</v>
      </c>
      <c r="B1252" s="5"/>
      <c r="C1252" s="5"/>
      <c r="D1252" s="6"/>
      <c r="E1252" s="7"/>
      <c r="Q1252" s="7"/>
      <c r="W1252" s="7"/>
      <c r="Y1252" s="8"/>
    </row>
    <row r="1253" spans="1:25" x14ac:dyDescent="0.3">
      <c r="A1253" s="3" t="s">
        <v>1410</v>
      </c>
      <c r="B1253" s="5"/>
      <c r="C1253" s="5"/>
      <c r="D1253" s="6"/>
      <c r="E1253" s="7"/>
      <c r="Q1253" s="7"/>
      <c r="W1253" s="7"/>
      <c r="Y1253" s="8"/>
    </row>
    <row r="1254" spans="1:25" x14ac:dyDescent="0.3">
      <c r="A1254" s="3" t="s">
        <v>1411</v>
      </c>
      <c r="B1254" s="5"/>
      <c r="C1254" s="5"/>
      <c r="D1254" s="6"/>
      <c r="E1254" s="7"/>
      <c r="Q1254" s="7"/>
      <c r="W1254" s="7"/>
      <c r="Y1254" s="8"/>
    </row>
    <row r="1255" spans="1:25" x14ac:dyDescent="0.3">
      <c r="A1255" s="3" t="s">
        <v>1412</v>
      </c>
      <c r="B1255" s="5"/>
      <c r="C1255" s="5"/>
      <c r="D1255" s="6"/>
      <c r="E1255" s="7"/>
      <c r="Q1255" s="7"/>
      <c r="W1255" s="7"/>
      <c r="Y1255" s="8"/>
    </row>
    <row r="1256" spans="1:25" x14ac:dyDescent="0.3">
      <c r="A1256" s="3" t="s">
        <v>1413</v>
      </c>
      <c r="B1256" s="5"/>
      <c r="C1256" s="5"/>
      <c r="D1256" s="6"/>
      <c r="E1256" s="7"/>
      <c r="Q1256" s="7"/>
      <c r="W1256" s="7"/>
      <c r="Y1256" s="8"/>
    </row>
    <row r="1257" spans="1:25" x14ac:dyDescent="0.3">
      <c r="A1257" s="3" t="s">
        <v>1414</v>
      </c>
      <c r="B1257" s="5"/>
      <c r="C1257" s="5"/>
      <c r="D1257" s="6"/>
      <c r="E1257" s="7"/>
      <c r="Q1257" s="7"/>
      <c r="W1257" s="7"/>
      <c r="Y1257" s="8"/>
    </row>
    <row r="1258" spans="1:25" x14ac:dyDescent="0.3">
      <c r="A1258" s="3" t="s">
        <v>1415</v>
      </c>
      <c r="B1258" s="5"/>
      <c r="C1258" s="5"/>
      <c r="D1258" s="6"/>
      <c r="E1258" s="7"/>
      <c r="Q1258" s="7"/>
      <c r="W1258" s="7"/>
      <c r="Y1258" s="8"/>
    </row>
    <row r="1259" spans="1:25" x14ac:dyDescent="0.3">
      <c r="A1259" s="3" t="s">
        <v>1416</v>
      </c>
      <c r="B1259" s="5"/>
      <c r="C1259" s="5"/>
      <c r="D1259" s="6"/>
      <c r="E1259" s="7"/>
      <c r="Q1259" s="7"/>
      <c r="W1259" s="7"/>
      <c r="Y1259" s="8"/>
    </row>
    <row r="1260" spans="1:25" x14ac:dyDescent="0.3">
      <c r="A1260" s="3" t="s">
        <v>1417</v>
      </c>
      <c r="B1260" s="5"/>
      <c r="C1260" s="5"/>
      <c r="D1260" s="6"/>
      <c r="E1260" s="7"/>
      <c r="Q1260" s="7"/>
      <c r="W1260" s="7"/>
      <c r="Y1260" s="8"/>
    </row>
    <row r="1261" spans="1:25" x14ac:dyDescent="0.3">
      <c r="A1261" s="3" t="s">
        <v>1418</v>
      </c>
      <c r="B1261" s="5"/>
      <c r="C1261" s="5"/>
      <c r="D1261" s="6"/>
      <c r="E1261" s="7"/>
      <c r="Q1261" s="7"/>
      <c r="W1261" s="7"/>
      <c r="Y1261" s="8"/>
    </row>
    <row r="1262" spans="1:25" x14ac:dyDescent="0.3">
      <c r="A1262" s="3" t="s">
        <v>1419</v>
      </c>
      <c r="B1262" s="5"/>
      <c r="C1262" s="5"/>
      <c r="D1262" s="6"/>
      <c r="E1262" s="7"/>
      <c r="Q1262" s="7"/>
      <c r="W1262" s="7"/>
      <c r="Y1262" s="8"/>
    </row>
    <row r="1263" spans="1:25" x14ac:dyDescent="0.3">
      <c r="A1263" s="3" t="s">
        <v>1420</v>
      </c>
      <c r="B1263" s="5"/>
      <c r="C1263" s="5"/>
      <c r="D1263" s="6"/>
      <c r="E1263" s="7"/>
      <c r="Q1263" s="7"/>
      <c r="W1263" s="7"/>
      <c r="Y1263" s="8"/>
    </row>
    <row r="1264" spans="1:25" x14ac:dyDescent="0.3">
      <c r="A1264" s="3" t="s">
        <v>1421</v>
      </c>
      <c r="B1264" s="5"/>
      <c r="C1264" s="5"/>
      <c r="D1264" s="6"/>
      <c r="E1264" s="7"/>
      <c r="Q1264" s="7"/>
      <c r="W1264" s="7"/>
      <c r="Y1264" s="8"/>
    </row>
    <row r="1265" spans="1:25" x14ac:dyDescent="0.3">
      <c r="A1265" s="3" t="s">
        <v>1422</v>
      </c>
      <c r="B1265" s="5"/>
      <c r="C1265" s="5"/>
      <c r="D1265" s="6"/>
      <c r="E1265" s="7"/>
      <c r="Q1265" s="7"/>
      <c r="W1265" s="7"/>
      <c r="Y1265" s="8"/>
    </row>
    <row r="1266" spans="1:25" x14ac:dyDescent="0.3">
      <c r="A1266" s="3" t="s">
        <v>1423</v>
      </c>
      <c r="B1266" s="5"/>
      <c r="C1266" s="5"/>
      <c r="D1266" s="6"/>
      <c r="E1266" s="7"/>
      <c r="Q1266" s="7"/>
      <c r="W1266" s="7"/>
      <c r="Y1266" s="8"/>
    </row>
    <row r="1267" spans="1:25" x14ac:dyDescent="0.3">
      <c r="A1267" s="3" t="s">
        <v>1424</v>
      </c>
      <c r="B1267" s="5"/>
      <c r="C1267" s="5"/>
      <c r="D1267" s="6"/>
      <c r="E1267" s="7"/>
      <c r="Q1267" s="7"/>
      <c r="W1267" s="7"/>
      <c r="Y1267" s="8"/>
    </row>
    <row r="1268" spans="1:25" x14ac:dyDescent="0.3">
      <c r="A1268" s="3" t="s">
        <v>1425</v>
      </c>
      <c r="B1268" s="5"/>
      <c r="C1268" s="5"/>
      <c r="D1268" s="6"/>
      <c r="E1268" s="7"/>
      <c r="Q1268" s="7"/>
      <c r="W1268" s="7"/>
      <c r="Y1268" s="8"/>
    </row>
    <row r="1269" spans="1:25" x14ac:dyDescent="0.3">
      <c r="A1269" s="3" t="s">
        <v>1426</v>
      </c>
      <c r="B1269" s="5"/>
      <c r="C1269" s="5"/>
      <c r="D1269" s="6"/>
      <c r="E1269" s="7"/>
      <c r="Q1269" s="7"/>
      <c r="W1269" s="7"/>
      <c r="Y1269" s="8"/>
    </row>
    <row r="1270" spans="1:25" x14ac:dyDescent="0.3">
      <c r="A1270" s="3" t="s">
        <v>1427</v>
      </c>
      <c r="B1270" s="5"/>
      <c r="C1270" s="5"/>
      <c r="D1270" s="6"/>
      <c r="E1270" s="7"/>
      <c r="Q1270" s="7"/>
      <c r="W1270" s="7"/>
      <c r="Y1270" s="8"/>
    </row>
    <row r="1271" spans="1:25" x14ac:dyDescent="0.3">
      <c r="A1271" s="3" t="s">
        <v>1428</v>
      </c>
      <c r="B1271" s="5"/>
      <c r="C1271" s="5"/>
      <c r="D1271" s="6"/>
      <c r="E1271" s="7"/>
      <c r="Q1271" s="7"/>
      <c r="W1271" s="7"/>
      <c r="Y1271" s="8"/>
    </row>
    <row r="1272" spans="1:25" x14ac:dyDescent="0.3">
      <c r="A1272" s="3" t="s">
        <v>1429</v>
      </c>
      <c r="B1272" s="5"/>
      <c r="C1272" s="5"/>
      <c r="D1272" s="6"/>
      <c r="E1272" s="7"/>
      <c r="Q1272" s="7"/>
      <c r="W1272" s="7"/>
      <c r="Y1272" s="8"/>
    </row>
    <row r="1273" spans="1:25" x14ac:dyDescent="0.3">
      <c r="A1273" s="3" t="s">
        <v>1430</v>
      </c>
      <c r="B1273" s="5"/>
      <c r="C1273" s="5"/>
      <c r="D1273" s="6"/>
      <c r="E1273" s="7"/>
      <c r="Q1273" s="7"/>
      <c r="W1273" s="7"/>
      <c r="Y1273" s="8"/>
    </row>
    <row r="1274" spans="1:25" x14ac:dyDescent="0.3">
      <c r="A1274" s="3" t="s">
        <v>1431</v>
      </c>
      <c r="B1274" s="5"/>
      <c r="C1274" s="5"/>
      <c r="D1274" s="6"/>
      <c r="E1274" s="7"/>
      <c r="Q1274" s="7"/>
      <c r="W1274" s="7"/>
      <c r="Y1274" s="8"/>
    </row>
    <row r="1275" spans="1:25" x14ac:dyDescent="0.3">
      <c r="A1275" s="3" t="s">
        <v>1432</v>
      </c>
      <c r="B1275" s="5"/>
      <c r="C1275" s="5"/>
      <c r="D1275" s="6"/>
      <c r="E1275" s="7"/>
      <c r="Q1275" s="7"/>
      <c r="W1275" s="7"/>
      <c r="Y1275" s="8"/>
    </row>
    <row r="1276" spans="1:25" x14ac:dyDescent="0.3">
      <c r="A1276" s="3" t="s">
        <v>1433</v>
      </c>
      <c r="B1276" s="5"/>
      <c r="C1276" s="5"/>
      <c r="D1276" s="6"/>
      <c r="E1276" s="7"/>
      <c r="Q1276" s="7"/>
      <c r="W1276" s="7"/>
      <c r="Y1276" s="8"/>
    </row>
    <row r="1277" spans="1:25" x14ac:dyDescent="0.3">
      <c r="A1277" s="3" t="s">
        <v>1434</v>
      </c>
      <c r="B1277" s="5"/>
      <c r="C1277" s="5"/>
      <c r="D1277" s="6"/>
      <c r="E1277" s="7"/>
      <c r="Q1277" s="7"/>
      <c r="W1277" s="7"/>
      <c r="Y1277" s="8"/>
    </row>
    <row r="1278" spans="1:25" x14ac:dyDescent="0.3">
      <c r="A1278" s="3" t="s">
        <v>1435</v>
      </c>
      <c r="B1278" s="5"/>
      <c r="C1278" s="5"/>
      <c r="D1278" s="6"/>
      <c r="E1278" s="7"/>
      <c r="Q1278" s="7"/>
      <c r="W1278" s="7"/>
      <c r="Y1278" s="8"/>
    </row>
    <row r="1279" spans="1:25" x14ac:dyDescent="0.3">
      <c r="A1279" s="3" t="s">
        <v>1436</v>
      </c>
      <c r="B1279" s="5"/>
      <c r="C1279" s="5"/>
      <c r="D1279" s="6"/>
      <c r="E1279" s="7"/>
      <c r="Q1279" s="7"/>
      <c r="W1279" s="7"/>
      <c r="Y1279" s="8"/>
    </row>
    <row r="1280" spans="1:25" x14ac:dyDescent="0.3">
      <c r="A1280" s="3" t="s">
        <v>1437</v>
      </c>
      <c r="B1280" s="5"/>
      <c r="C1280" s="5"/>
      <c r="D1280" s="6"/>
      <c r="E1280" s="7"/>
      <c r="Q1280" s="7"/>
      <c r="W1280" s="7"/>
      <c r="Y1280" s="8"/>
    </row>
    <row r="1281" spans="1:25" x14ac:dyDescent="0.3">
      <c r="A1281" s="3" t="s">
        <v>1438</v>
      </c>
      <c r="B1281" s="5"/>
      <c r="C1281" s="5"/>
      <c r="D1281" s="6"/>
      <c r="E1281" s="7"/>
      <c r="Q1281" s="7"/>
      <c r="W1281" s="7"/>
      <c r="Y1281" s="8"/>
    </row>
    <row r="1282" spans="1:25" x14ac:dyDescent="0.3">
      <c r="A1282" s="3" t="s">
        <v>1439</v>
      </c>
      <c r="B1282" s="5"/>
      <c r="C1282" s="5"/>
      <c r="D1282" s="6"/>
      <c r="E1282" s="7"/>
      <c r="Q1282" s="7"/>
      <c r="W1282" s="7"/>
      <c r="Y1282" s="8"/>
    </row>
    <row r="1283" spans="1:25" x14ac:dyDescent="0.3">
      <c r="A1283" s="3" t="s">
        <v>1440</v>
      </c>
      <c r="B1283" s="5"/>
      <c r="C1283" s="5"/>
      <c r="D1283" s="6"/>
      <c r="E1283" s="7"/>
      <c r="Q1283" s="7"/>
      <c r="W1283" s="7"/>
      <c r="Y1283" s="8"/>
    </row>
    <row r="1284" spans="1:25" x14ac:dyDescent="0.3">
      <c r="A1284" s="3" t="s">
        <v>1441</v>
      </c>
      <c r="B1284" s="5"/>
      <c r="C1284" s="5"/>
      <c r="D1284" s="6"/>
      <c r="E1284" s="7"/>
      <c r="Q1284" s="7"/>
      <c r="W1284" s="7"/>
      <c r="Y1284" s="8"/>
    </row>
    <row r="1285" spans="1:25" x14ac:dyDescent="0.3">
      <c r="A1285" s="3" t="s">
        <v>1782</v>
      </c>
      <c r="B1285" s="5"/>
      <c r="C1285" s="5"/>
      <c r="D1285" s="6"/>
      <c r="E1285" s="7"/>
      <c r="Q1285" s="7"/>
      <c r="W1285" s="7"/>
      <c r="Y1285" s="8"/>
    </row>
    <row r="1286" spans="1:25" x14ac:dyDescent="0.3">
      <c r="A1286" s="3" t="s">
        <v>1783</v>
      </c>
      <c r="B1286" s="5"/>
      <c r="C1286" s="5"/>
      <c r="D1286" s="6"/>
      <c r="E1286" s="7"/>
      <c r="Q1286" s="7"/>
      <c r="W1286" s="7"/>
      <c r="Y1286" s="8"/>
    </row>
    <row r="1287" spans="1:25" x14ac:dyDescent="0.3">
      <c r="A1287" s="3" t="s">
        <v>1784</v>
      </c>
      <c r="B1287" s="5"/>
      <c r="C1287" s="5"/>
      <c r="D1287" s="6"/>
      <c r="E1287" s="7"/>
      <c r="Q1287" s="7"/>
      <c r="W1287" s="7"/>
      <c r="Y1287" s="8"/>
    </row>
    <row r="1288" spans="1:25" x14ac:dyDescent="0.3">
      <c r="A1288" s="3" t="s">
        <v>1785</v>
      </c>
      <c r="B1288" s="5"/>
      <c r="C1288" s="5"/>
      <c r="D1288" s="6"/>
      <c r="E1288" s="7"/>
      <c r="Q1288" s="7"/>
      <c r="W1288" s="7"/>
      <c r="Y1288" s="8"/>
    </row>
    <row r="1289" spans="1:25" x14ac:dyDescent="0.3">
      <c r="A1289" s="3" t="s">
        <v>1786</v>
      </c>
      <c r="B1289" s="5"/>
      <c r="C1289" s="5"/>
      <c r="D1289" s="6"/>
      <c r="E1289" s="7"/>
      <c r="Q1289" s="7"/>
      <c r="W1289" s="7"/>
      <c r="Y1289" s="8"/>
    </row>
    <row r="1290" spans="1:25" x14ac:dyDescent="0.3">
      <c r="A1290" s="3" t="s">
        <v>1787</v>
      </c>
      <c r="B1290" s="5"/>
      <c r="C1290" s="5"/>
      <c r="D1290" s="6"/>
      <c r="E1290" s="7"/>
      <c r="Q1290" s="7"/>
      <c r="W1290" s="7"/>
      <c r="Y1290" s="8"/>
    </row>
    <row r="1291" spans="1:25" x14ac:dyDescent="0.3">
      <c r="A1291" s="3" t="s">
        <v>1788</v>
      </c>
      <c r="B1291" s="5"/>
      <c r="C1291" s="5"/>
      <c r="D1291" s="6"/>
      <c r="E1291" s="7"/>
      <c r="Q1291" s="7"/>
      <c r="W1291" s="7"/>
      <c r="Y1291" s="8"/>
    </row>
    <row r="1292" spans="1:25" x14ac:dyDescent="0.3">
      <c r="A1292" s="3" t="s">
        <v>1789</v>
      </c>
      <c r="B1292" s="5"/>
      <c r="C1292" s="5"/>
      <c r="D1292" s="6"/>
      <c r="E1292" s="7"/>
      <c r="Q1292" s="7"/>
      <c r="W1292" s="7"/>
      <c r="Y1292" s="8"/>
    </row>
    <row r="1293" spans="1:25" x14ac:dyDescent="0.3">
      <c r="A1293" s="3" t="s">
        <v>1790</v>
      </c>
      <c r="B1293" s="5"/>
      <c r="C1293" s="5"/>
      <c r="D1293" s="6"/>
      <c r="E1293" s="7"/>
      <c r="Q1293" s="7"/>
      <c r="W1293" s="7"/>
      <c r="Y1293" s="8"/>
    </row>
    <row r="1294" spans="1:25" x14ac:dyDescent="0.3">
      <c r="A1294" s="3" t="s">
        <v>1791</v>
      </c>
      <c r="B1294" s="5"/>
      <c r="C1294" s="5"/>
      <c r="D1294" s="6"/>
      <c r="E1294" s="7"/>
      <c r="Q1294" s="7"/>
      <c r="W1294" s="7"/>
      <c r="Y1294" s="8"/>
    </row>
    <row r="1295" spans="1:25" x14ac:dyDescent="0.3">
      <c r="A1295" s="3" t="s">
        <v>1792</v>
      </c>
      <c r="B1295" s="5"/>
      <c r="C1295" s="5"/>
      <c r="D1295" s="6"/>
      <c r="E1295" s="7"/>
      <c r="Q1295" s="7"/>
      <c r="W1295" s="7"/>
      <c r="Y1295" s="8"/>
    </row>
    <row r="1296" spans="1:25" x14ac:dyDescent="0.3">
      <c r="A1296" s="3" t="s">
        <v>1793</v>
      </c>
      <c r="B1296" s="5"/>
      <c r="C1296" s="5"/>
      <c r="D1296" s="6"/>
      <c r="E1296" s="7"/>
      <c r="Q1296" s="7"/>
      <c r="W1296" s="7"/>
      <c r="Y1296" s="8"/>
    </row>
    <row r="1297" spans="1:25" x14ac:dyDescent="0.3">
      <c r="A1297" s="3" t="s">
        <v>1794</v>
      </c>
      <c r="B1297" s="5"/>
      <c r="C1297" s="5"/>
      <c r="D1297" s="6"/>
      <c r="E1297" s="7"/>
      <c r="Q1297" s="7"/>
      <c r="W1297" s="7"/>
      <c r="Y1297" s="8"/>
    </row>
    <row r="1298" spans="1:25" x14ac:dyDescent="0.3">
      <c r="A1298" s="3" t="s">
        <v>1795</v>
      </c>
      <c r="B1298" s="5"/>
      <c r="C1298" s="5"/>
      <c r="D1298" s="6"/>
      <c r="E1298" s="7"/>
      <c r="Q1298" s="7"/>
      <c r="W1298" s="7"/>
      <c r="Y1298" s="8"/>
    </row>
    <row r="1299" spans="1:25" x14ac:dyDescent="0.3">
      <c r="A1299" s="3" t="s">
        <v>1796</v>
      </c>
      <c r="B1299" s="5"/>
      <c r="C1299" s="5"/>
      <c r="D1299" s="6"/>
      <c r="E1299" s="7"/>
      <c r="Q1299" s="7"/>
      <c r="W1299" s="7"/>
      <c r="Y1299" s="8"/>
    </row>
    <row r="1300" spans="1:25" x14ac:dyDescent="0.3">
      <c r="A1300" s="3" t="s">
        <v>1797</v>
      </c>
      <c r="B1300" s="5"/>
      <c r="C1300" s="5"/>
      <c r="D1300" s="6"/>
      <c r="E1300" s="7"/>
      <c r="Q1300" s="7"/>
      <c r="W1300" s="7"/>
      <c r="Y1300" s="8"/>
    </row>
    <row r="1301" spans="1:25" x14ac:dyDescent="0.3">
      <c r="A1301" s="3" t="s">
        <v>1798</v>
      </c>
      <c r="B1301" s="5"/>
      <c r="C1301" s="5"/>
      <c r="D1301" s="6"/>
      <c r="E1301" s="7"/>
      <c r="Q1301" s="7"/>
      <c r="W1301" s="7"/>
      <c r="Y1301" s="8"/>
    </row>
    <row r="1302" spans="1:25" x14ac:dyDescent="0.3">
      <c r="A1302" s="3" t="s">
        <v>1799</v>
      </c>
      <c r="B1302" s="5"/>
      <c r="C1302" s="5"/>
      <c r="D1302" s="6"/>
      <c r="E1302" s="7"/>
      <c r="Q1302" s="7"/>
      <c r="W1302" s="7"/>
      <c r="Y1302" s="8"/>
    </row>
    <row r="1303" spans="1:25" x14ac:dyDescent="0.3">
      <c r="A1303" s="3" t="s">
        <v>1800</v>
      </c>
      <c r="B1303" s="5"/>
      <c r="C1303" s="5"/>
      <c r="D1303" s="6"/>
      <c r="E1303" s="7"/>
      <c r="Q1303" s="7"/>
      <c r="W1303" s="7"/>
      <c r="Y1303" s="8"/>
    </row>
    <row r="1304" spans="1:25" x14ac:dyDescent="0.3">
      <c r="Q1304" s="7"/>
    </row>
    <row r="1047378" spans="18:20" x14ac:dyDescent="0.3">
      <c r="R1047378" s="1"/>
      <c r="T1047378" s="1"/>
    </row>
  </sheetData>
  <phoneticPr fontId="6" type="noConversion"/>
  <dataValidations count="2">
    <dataValidation type="list" allowBlank="1" showInputMessage="1" showErrorMessage="1" sqref="W2:W1303" xr:uid="{00000000-0002-0000-0000-000000000000}">
      <formula1>"Numérique, Caractère"</formula1>
    </dataValidation>
    <dataValidation type="list" allowBlank="1" showInputMessage="1" showErrorMessage="1" sqref="T200:T1303 Q2:Q1304 R2:R1303 B2:C1303 G213:G1303 G149 G163 G160 G2:G141 E2:E1303 M79:O118" xr:uid="{00000000-0002-0000-0000-000001000000}">
      <formula1>#REF!</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AAACF-4852-489C-98BC-84F18B73124B}">
  <dimension ref="A1:H18"/>
  <sheetViews>
    <sheetView workbookViewId="0">
      <selection activeCell="E11" sqref="E11"/>
    </sheetView>
  </sheetViews>
  <sheetFormatPr baseColWidth="10" defaultRowHeight="14.4" x14ac:dyDescent="0.3"/>
  <cols>
    <col min="2" max="2" width="17.44140625" customWidth="1"/>
    <col min="4" max="4" width="18.33203125" customWidth="1"/>
    <col min="5" max="8" width="28.109375" customWidth="1"/>
  </cols>
  <sheetData>
    <row r="1" spans="1:8" ht="17.399999999999999" thickBot="1" x14ac:dyDescent="0.35">
      <c r="A1" s="22" t="s">
        <v>26</v>
      </c>
      <c r="B1" s="22" t="s">
        <v>1803</v>
      </c>
      <c r="C1" s="22" t="s">
        <v>1804</v>
      </c>
      <c r="D1" s="22" t="s">
        <v>1805</v>
      </c>
      <c r="E1" s="22" t="s">
        <v>1806</v>
      </c>
      <c r="F1" s="22" t="s">
        <v>1843</v>
      </c>
      <c r="G1" s="22" t="s">
        <v>1823</v>
      </c>
      <c r="H1" s="22" t="s">
        <v>1817</v>
      </c>
    </row>
    <row r="2" spans="1:8" ht="51" thickBot="1" x14ac:dyDescent="0.35">
      <c r="A2" s="23" t="s">
        <v>1</v>
      </c>
      <c r="B2" s="5" t="s">
        <v>12</v>
      </c>
      <c r="C2" s="23">
        <v>1990</v>
      </c>
      <c r="D2" s="23" t="s">
        <v>1564</v>
      </c>
      <c r="E2" s="23" t="s">
        <v>1811</v>
      </c>
      <c r="F2" s="25" t="s">
        <v>1861</v>
      </c>
      <c r="G2" s="25" t="s">
        <v>1844</v>
      </c>
      <c r="H2" s="24" t="s">
        <v>1818</v>
      </c>
    </row>
    <row r="3" spans="1:8" ht="51" thickBot="1" x14ac:dyDescent="0.35">
      <c r="A3" s="23" t="s">
        <v>2</v>
      </c>
      <c r="B3" s="5" t="s">
        <v>12</v>
      </c>
      <c r="C3" s="23">
        <v>1992</v>
      </c>
      <c r="D3" s="23" t="s">
        <v>1807</v>
      </c>
      <c r="E3" s="23" t="s">
        <v>1812</v>
      </c>
      <c r="F3" s="25" t="s">
        <v>1861</v>
      </c>
      <c r="G3" s="25" t="s">
        <v>1845</v>
      </c>
      <c r="H3" s="24" t="s">
        <v>1819</v>
      </c>
    </row>
    <row r="4" spans="1:8" ht="51" thickBot="1" x14ac:dyDescent="0.35">
      <c r="A4" s="23" t="s">
        <v>1808</v>
      </c>
      <c r="B4" s="5" t="s">
        <v>12</v>
      </c>
      <c r="C4" s="23">
        <v>1994</v>
      </c>
      <c r="D4" s="23" t="s">
        <v>1809</v>
      </c>
      <c r="E4" s="23" t="s">
        <v>1814</v>
      </c>
      <c r="F4" s="25" t="s">
        <v>1861</v>
      </c>
      <c r="G4" s="25" t="s">
        <v>1846</v>
      </c>
      <c r="H4" s="24" t="s">
        <v>1820</v>
      </c>
    </row>
    <row r="5" spans="1:8" ht="51" thickBot="1" x14ac:dyDescent="0.35">
      <c r="A5" s="23" t="s">
        <v>1808</v>
      </c>
      <c r="B5" s="5" t="s">
        <v>12</v>
      </c>
      <c r="C5" s="23">
        <v>1994</v>
      </c>
      <c r="D5" s="23" t="s">
        <v>1816</v>
      </c>
      <c r="E5" s="23" t="s">
        <v>1815</v>
      </c>
      <c r="F5" s="25" t="s">
        <v>1861</v>
      </c>
      <c r="G5" s="25" t="s">
        <v>1847</v>
      </c>
      <c r="H5" s="24" t="s">
        <v>1820</v>
      </c>
    </row>
    <row r="6" spans="1:8" ht="51" thickBot="1" x14ac:dyDescent="0.35">
      <c r="A6" s="23" t="s">
        <v>3</v>
      </c>
      <c r="B6" s="5" t="s">
        <v>12</v>
      </c>
      <c r="C6" s="23">
        <v>1995</v>
      </c>
      <c r="D6" s="23" t="s">
        <v>1810</v>
      </c>
      <c r="E6" s="23" t="s">
        <v>1813</v>
      </c>
      <c r="F6" s="25" t="s">
        <v>1861</v>
      </c>
      <c r="G6" s="25" t="s">
        <v>1848</v>
      </c>
      <c r="H6" s="24" t="s">
        <v>1821</v>
      </c>
    </row>
    <row r="7" spans="1:8" ht="51" thickBot="1" x14ac:dyDescent="0.35">
      <c r="A7" s="23" t="s">
        <v>4</v>
      </c>
      <c r="B7" s="5" t="s">
        <v>12</v>
      </c>
      <c r="C7" s="23">
        <v>1997</v>
      </c>
      <c r="D7" s="23" t="s">
        <v>1825</v>
      </c>
      <c r="E7" s="23" t="s">
        <v>1834</v>
      </c>
      <c r="F7" s="25" t="s">
        <v>1861</v>
      </c>
      <c r="G7" s="25" t="s">
        <v>1849</v>
      </c>
      <c r="H7" s="24"/>
    </row>
    <row r="8" spans="1:8" ht="51" thickBot="1" x14ac:dyDescent="0.35">
      <c r="A8" s="23" t="s">
        <v>5</v>
      </c>
      <c r="B8" s="5" t="s">
        <v>12</v>
      </c>
      <c r="C8" s="23">
        <v>2000</v>
      </c>
      <c r="D8" s="23" t="s">
        <v>1826</v>
      </c>
      <c r="E8" s="23" t="s">
        <v>1835</v>
      </c>
      <c r="F8" s="25" t="s">
        <v>1861</v>
      </c>
      <c r="G8" s="25" t="s">
        <v>1850</v>
      </c>
      <c r="H8" s="24"/>
    </row>
    <row r="9" spans="1:8" ht="51" thickBot="1" x14ac:dyDescent="0.35">
      <c r="A9" s="23" t="s">
        <v>6</v>
      </c>
      <c r="B9" s="5" t="s">
        <v>12</v>
      </c>
      <c r="C9" s="23">
        <v>2002</v>
      </c>
      <c r="D9" s="23" t="s">
        <v>1827</v>
      </c>
      <c r="E9" s="23" t="s">
        <v>1836</v>
      </c>
      <c r="F9" s="25" t="s">
        <v>1861</v>
      </c>
      <c r="G9" s="25" t="s">
        <v>1851</v>
      </c>
      <c r="H9" s="24"/>
    </row>
    <row r="10" spans="1:8" ht="51" thickBot="1" x14ac:dyDescent="0.35">
      <c r="A10" s="23" t="s">
        <v>7</v>
      </c>
      <c r="B10" s="5" t="s">
        <v>12</v>
      </c>
      <c r="C10" s="23">
        <v>2005</v>
      </c>
      <c r="D10" s="23" t="s">
        <v>1828</v>
      </c>
      <c r="E10" s="23" t="s">
        <v>1837</v>
      </c>
      <c r="F10" s="25" t="s">
        <v>1861</v>
      </c>
      <c r="G10" s="25" t="s">
        <v>1852</v>
      </c>
      <c r="H10" s="24"/>
    </row>
    <row r="11" spans="1:8" ht="51" thickBot="1" x14ac:dyDescent="0.35">
      <c r="A11" s="23" t="s">
        <v>8</v>
      </c>
      <c r="B11" s="5" t="s">
        <v>12</v>
      </c>
      <c r="C11" s="23">
        <v>2008</v>
      </c>
      <c r="D11" s="23" t="s">
        <v>1829</v>
      </c>
      <c r="E11" s="23" t="s">
        <v>1838</v>
      </c>
      <c r="F11" s="25" t="s">
        <v>1861</v>
      </c>
      <c r="G11" s="25" t="s">
        <v>1853</v>
      </c>
      <c r="H11" s="24"/>
    </row>
    <row r="12" spans="1:8" ht="51" thickBot="1" x14ac:dyDescent="0.35">
      <c r="A12" s="23" t="s">
        <v>9</v>
      </c>
      <c r="B12" s="5" t="s">
        <v>12</v>
      </c>
      <c r="C12" s="26">
        <v>2011</v>
      </c>
      <c r="D12" s="23" t="s">
        <v>1830</v>
      </c>
      <c r="E12" s="23" t="s">
        <v>1839</v>
      </c>
      <c r="F12" s="25" t="s">
        <v>1861</v>
      </c>
      <c r="G12" s="25" t="s">
        <v>1854</v>
      </c>
    </row>
    <row r="13" spans="1:8" ht="51" thickBot="1" x14ac:dyDescent="0.35">
      <c r="A13" s="23" t="s">
        <v>10</v>
      </c>
      <c r="B13" s="5" t="s">
        <v>12</v>
      </c>
      <c r="C13" s="26">
        <v>2014</v>
      </c>
      <c r="D13" s="23" t="s">
        <v>1831</v>
      </c>
      <c r="E13" s="23" t="s">
        <v>1840</v>
      </c>
      <c r="F13" s="25" t="s">
        <v>1861</v>
      </c>
      <c r="G13" s="25" t="s">
        <v>1855</v>
      </c>
    </row>
    <row r="14" spans="1:8" ht="51" thickBot="1" x14ac:dyDescent="0.35">
      <c r="A14" s="23" t="s">
        <v>11</v>
      </c>
      <c r="B14" s="5" t="s">
        <v>12</v>
      </c>
      <c r="C14" s="26">
        <v>2018</v>
      </c>
      <c r="D14" s="23" t="s">
        <v>1832</v>
      </c>
      <c r="E14" s="23" t="s">
        <v>1841</v>
      </c>
      <c r="F14" s="25" t="s">
        <v>1861</v>
      </c>
      <c r="G14" s="25" t="s">
        <v>1856</v>
      </c>
    </row>
    <row r="15" spans="1:8" ht="51" thickBot="1" x14ac:dyDescent="0.35">
      <c r="A15" s="23" t="s">
        <v>1754</v>
      </c>
      <c r="B15" s="5" t="s">
        <v>12</v>
      </c>
      <c r="C15" s="26">
        <v>2021</v>
      </c>
      <c r="D15" s="23" t="s">
        <v>1833</v>
      </c>
      <c r="E15" s="23" t="s">
        <v>1842</v>
      </c>
      <c r="F15" s="25" t="s">
        <v>1861</v>
      </c>
      <c r="G15" s="25" t="s">
        <v>1857</v>
      </c>
    </row>
    <row r="16" spans="1:8" ht="51" thickBot="1" x14ac:dyDescent="0.35">
      <c r="A16" s="23" t="s">
        <v>1</v>
      </c>
      <c r="B16" s="5" t="s">
        <v>13</v>
      </c>
      <c r="C16" s="23">
        <v>2014</v>
      </c>
      <c r="D16" s="23" t="s">
        <v>1564</v>
      </c>
      <c r="E16" s="23" t="s">
        <v>1811</v>
      </c>
      <c r="F16" s="25" t="s">
        <v>1861</v>
      </c>
      <c r="G16" s="25" t="s">
        <v>1858</v>
      </c>
      <c r="H16" s="24" t="s">
        <v>1822</v>
      </c>
    </row>
    <row r="17" spans="1:7" ht="51" thickBot="1" x14ac:dyDescent="0.35">
      <c r="A17" s="23" t="s">
        <v>2</v>
      </c>
      <c r="B17" s="5" t="s">
        <v>13</v>
      </c>
      <c r="C17" s="23">
        <v>2018</v>
      </c>
      <c r="D17" s="23" t="s">
        <v>1807</v>
      </c>
      <c r="E17" s="23" t="s">
        <v>1812</v>
      </c>
      <c r="F17" s="25" t="s">
        <v>1861</v>
      </c>
      <c r="G17" s="25" t="s">
        <v>1859</v>
      </c>
    </row>
    <row r="18" spans="1:7" ht="51" thickBot="1" x14ac:dyDescent="0.35">
      <c r="A18" s="23" t="s">
        <v>1808</v>
      </c>
      <c r="B18" s="5" t="s">
        <v>13</v>
      </c>
      <c r="C18" s="23">
        <v>2021</v>
      </c>
      <c r="D18" s="23" t="s">
        <v>1809</v>
      </c>
      <c r="E18" s="23" t="s">
        <v>1824</v>
      </c>
      <c r="F18" s="25" t="s">
        <v>1861</v>
      </c>
      <c r="G18" s="25" t="s">
        <v>1860</v>
      </c>
    </row>
  </sheetData>
  <phoneticPr fontId="6" type="noConversion"/>
  <dataValidations count="1">
    <dataValidation type="list" allowBlank="1" showInputMessage="1" showErrorMessage="1" sqref="B2:B18" xr:uid="{E0D539BD-C33B-4B1B-8F4D-8DE281469FF7}">
      <formula1>#REF!</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Dicovar</vt:lpstr>
      <vt:lpstr>questionnaire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2026-09-22T09:58:30Z</dcterms:modified>
</cp:coreProperties>
</file>